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henry.el-jawhari/GitHub/msc_thesis/h1n1/"/>
    </mc:Choice>
  </mc:AlternateContent>
  <xr:revisionPtr revIDLastSave="0" documentId="13_ncr:1_{43EE6A05-1997-F942-AF6C-BED9CF7FDDF0}" xr6:coauthVersionLast="47" xr6:coauthVersionMax="47" xr10:uidLastSave="{00000000-0000-0000-0000-000000000000}"/>
  <bookViews>
    <workbookView xWindow="0" yWindow="660" windowWidth="30240" windowHeight="18980" xr2:uid="{D55B61CA-5093-5F4F-9EE7-D18720C94B6B}"/>
  </bookViews>
  <sheets>
    <sheet name="ACF Scores" sheetId="1" r:id="rId1"/>
    <sheet name="Readability Avg Scores" sheetId="2" r:id="rId2"/>
    <sheet name="Readability All Scores" sheetId="4" r:id="rId3"/>
    <sheet name="Q Interpretation" sheetId="9" r:id="rId4"/>
    <sheet name="Averages" sheetId="7" r:id="rId5"/>
    <sheet name="Ranking" sheetId="8" r:id="rId6"/>
  </sheets>
  <definedNames>
    <definedName name="_xlnm._FilterDatabase" localSheetId="0" hidden="1">'ACF Scores'!$A$1:$O$109</definedName>
    <definedName name="_xlnm._FilterDatabase" localSheetId="3" hidden="1">'Q Interpretation'!$A$1:$J$109</definedName>
    <definedName name="_xlnm._FilterDatabase" localSheetId="5" hidden="1">Ranking!$N$1:$S$37</definedName>
    <definedName name="_xlnm._FilterDatabase" localSheetId="2" hidden="1">'Readability All Scores'!$A$1:$F$577</definedName>
    <definedName name="_xlnm._FilterDatabase" localSheetId="1" hidden="1">'Readability Avg Scores'!$A$1:$E$109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88" i="4" l="1"/>
  <c r="H2" i="4" a="1"/>
  <c r="H2" i="4" s="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2" i="1"/>
  <c r="S2" i="8"/>
  <c r="S8" i="8"/>
  <c r="S25" i="8"/>
  <c r="S30" i="8"/>
  <c r="S21" i="8"/>
  <c r="S32" i="8"/>
  <c r="S33" i="8"/>
  <c r="S31" i="8"/>
  <c r="S24" i="8"/>
  <c r="S27" i="8"/>
  <c r="S16" i="8"/>
  <c r="S18" i="8"/>
  <c r="S26" i="8"/>
  <c r="S29" i="8"/>
  <c r="S28" i="8"/>
  <c r="S20" i="8"/>
  <c r="S9" i="8"/>
  <c r="S23" i="8"/>
  <c r="S35" i="8"/>
  <c r="S11" i="8"/>
  <c r="S7" i="8"/>
  <c r="S12" i="8"/>
  <c r="S36" i="8"/>
  <c r="S37" i="8"/>
  <c r="S34" i="8"/>
  <c r="S5" i="8"/>
  <c r="S3" i="8"/>
  <c r="S14" i="8"/>
  <c r="S22" i="8"/>
  <c r="S10" i="8"/>
  <c r="S15" i="8"/>
  <c r="S17" i="8"/>
  <c r="S4" i="8"/>
  <c r="S13" i="8"/>
  <c r="S19" i="8"/>
  <c r="S6" i="8"/>
  <c r="R2" i="8"/>
  <c r="R8" i="8"/>
  <c r="R25" i="8"/>
  <c r="R30" i="8"/>
  <c r="R21" i="8"/>
  <c r="R32" i="8"/>
  <c r="R33" i="8"/>
  <c r="R31" i="8"/>
  <c r="R24" i="8"/>
  <c r="R27" i="8"/>
  <c r="R16" i="8"/>
  <c r="R18" i="8"/>
  <c r="R26" i="8"/>
  <c r="R29" i="8"/>
  <c r="R28" i="8"/>
  <c r="R20" i="8"/>
  <c r="R9" i="8"/>
  <c r="R23" i="8"/>
  <c r="R35" i="8"/>
  <c r="R11" i="8"/>
  <c r="R7" i="8"/>
  <c r="R12" i="8"/>
  <c r="R36" i="8"/>
  <c r="R37" i="8"/>
  <c r="R34" i="8"/>
  <c r="R5" i="8"/>
  <c r="R3" i="8"/>
  <c r="R14" i="8"/>
  <c r="R22" i="8"/>
  <c r="R10" i="8"/>
  <c r="R15" i="8"/>
  <c r="R17" i="8"/>
  <c r="R4" i="8"/>
  <c r="R13" i="8"/>
  <c r="R19" i="8"/>
  <c r="R6" i="8"/>
  <c r="N2" i="8"/>
  <c r="N8" i="8"/>
  <c r="N25" i="8"/>
  <c r="N30" i="8"/>
  <c r="N21" i="8"/>
  <c r="N32" i="8"/>
  <c r="N33" i="8"/>
  <c r="N31" i="8"/>
  <c r="N24" i="8"/>
  <c r="N27" i="8"/>
  <c r="N16" i="8"/>
  <c r="N18" i="8"/>
  <c r="N26" i="8"/>
  <c r="N29" i="8"/>
  <c r="N28" i="8"/>
  <c r="N20" i="8"/>
  <c r="N9" i="8"/>
  <c r="N23" i="8"/>
  <c r="N35" i="8"/>
  <c r="N11" i="8"/>
  <c r="N7" i="8"/>
  <c r="N12" i="8"/>
  <c r="N36" i="8"/>
  <c r="N37" i="8"/>
  <c r="N34" i="8"/>
  <c r="N5" i="8"/>
  <c r="N3" i="8"/>
  <c r="N14" i="8"/>
  <c r="N22" i="8"/>
  <c r="N10" i="8"/>
  <c r="N15" i="8"/>
  <c r="N17" i="8"/>
  <c r="N4" i="8"/>
  <c r="N13" i="8"/>
  <c r="N19" i="8"/>
  <c r="N6" i="8"/>
  <c r="P2" i="8"/>
  <c r="Q2" i="8"/>
  <c r="P8" i="8"/>
  <c r="Q8" i="8"/>
  <c r="P25" i="8"/>
  <c r="Q25" i="8"/>
  <c r="P30" i="8"/>
  <c r="Q30" i="8"/>
  <c r="P21" i="8"/>
  <c r="Q21" i="8"/>
  <c r="P32" i="8"/>
  <c r="Q32" i="8"/>
  <c r="P33" i="8"/>
  <c r="Q33" i="8"/>
  <c r="P31" i="8"/>
  <c r="Q31" i="8"/>
  <c r="P24" i="8"/>
  <c r="Q24" i="8"/>
  <c r="P27" i="8"/>
  <c r="Q27" i="8"/>
  <c r="P16" i="8"/>
  <c r="Q16" i="8"/>
  <c r="P18" i="8"/>
  <c r="Q18" i="8"/>
  <c r="P26" i="8"/>
  <c r="Q26" i="8"/>
  <c r="P29" i="8"/>
  <c r="Q29" i="8"/>
  <c r="P28" i="8"/>
  <c r="Q28" i="8"/>
  <c r="P20" i="8"/>
  <c r="Q20" i="8"/>
  <c r="P9" i="8"/>
  <c r="Q9" i="8"/>
  <c r="P23" i="8"/>
  <c r="Q23" i="8"/>
  <c r="P35" i="8"/>
  <c r="Q35" i="8"/>
  <c r="P11" i="8"/>
  <c r="Q11" i="8"/>
  <c r="P7" i="8"/>
  <c r="Q7" i="8"/>
  <c r="P12" i="8"/>
  <c r="Q12" i="8"/>
  <c r="P36" i="8"/>
  <c r="Q36" i="8"/>
  <c r="P37" i="8"/>
  <c r="Q37" i="8"/>
  <c r="P34" i="8"/>
  <c r="Q34" i="8"/>
  <c r="P5" i="8"/>
  <c r="Q5" i="8"/>
  <c r="P3" i="8"/>
  <c r="Q3" i="8"/>
  <c r="P14" i="8"/>
  <c r="Q14" i="8"/>
  <c r="P22" i="8"/>
  <c r="Q22" i="8"/>
  <c r="P10" i="8"/>
  <c r="Q10" i="8"/>
  <c r="P15" i="8"/>
  <c r="Q15" i="8"/>
  <c r="P17" i="8"/>
  <c r="Q17" i="8"/>
  <c r="P4" i="8"/>
  <c r="Q4" i="8"/>
  <c r="P13" i="8"/>
  <c r="Q13" i="8"/>
  <c r="P19" i="8"/>
  <c r="Q19" i="8"/>
  <c r="Q6" i="8"/>
  <c r="P6" i="8"/>
  <c r="P3" i="1" a="1"/>
  <c r="P3" i="1" s="1"/>
  <c r="P4" i="1" a="1"/>
  <c r="P4" i="1" s="1"/>
  <c r="P5" i="1" a="1"/>
  <c r="P5" i="1" s="1"/>
  <c r="P6" i="1" a="1"/>
  <c r="P6" i="1" s="1"/>
  <c r="P7" i="1" a="1"/>
  <c r="P7" i="1" s="1"/>
  <c r="P8" i="1" a="1"/>
  <c r="P8" i="1" s="1"/>
  <c r="P9" i="1" a="1"/>
  <c r="P9" i="1" s="1"/>
  <c r="P10" i="1" a="1"/>
  <c r="P10" i="1" s="1"/>
  <c r="P11" i="1" a="1"/>
  <c r="P11" i="1" s="1"/>
  <c r="P12" i="1" a="1"/>
  <c r="P12" i="1" s="1"/>
  <c r="P13" i="1" a="1"/>
  <c r="P13" i="1" s="1"/>
  <c r="P14" i="1" a="1"/>
  <c r="P14" i="1" s="1"/>
  <c r="P15" i="1" a="1"/>
  <c r="P15" i="1" s="1"/>
  <c r="P16" i="1" a="1"/>
  <c r="P16" i="1" s="1"/>
  <c r="P17" i="1" a="1"/>
  <c r="P17" i="1" s="1"/>
  <c r="P18" i="1" a="1"/>
  <c r="P18" i="1" s="1"/>
  <c r="P19" i="1" a="1"/>
  <c r="P19" i="1" s="1"/>
  <c r="P20" i="1" a="1"/>
  <c r="P20" i="1" s="1"/>
  <c r="P21" i="1" a="1"/>
  <c r="P21" i="1" s="1"/>
  <c r="P22" i="1" a="1"/>
  <c r="P22" i="1" s="1"/>
  <c r="P23" i="1" a="1"/>
  <c r="P23" i="1" s="1"/>
  <c r="P24" i="1" a="1"/>
  <c r="P24" i="1" s="1"/>
  <c r="P25" i="1" a="1"/>
  <c r="P25" i="1" s="1"/>
  <c r="P26" i="1" a="1"/>
  <c r="P26" i="1" s="1"/>
  <c r="P27" i="1" a="1"/>
  <c r="P27" i="1" s="1"/>
  <c r="P28" i="1" a="1"/>
  <c r="P28" i="1" s="1"/>
  <c r="P29" i="1" a="1"/>
  <c r="P29" i="1" s="1"/>
  <c r="P30" i="1" a="1"/>
  <c r="P30" i="1" s="1"/>
  <c r="P31" i="1" a="1"/>
  <c r="P31" i="1" s="1"/>
  <c r="P32" i="1" a="1"/>
  <c r="P32" i="1" s="1"/>
  <c r="P33" i="1" a="1"/>
  <c r="P33" i="1" s="1"/>
  <c r="P34" i="1" a="1"/>
  <c r="P34" i="1" s="1"/>
  <c r="P35" i="1" a="1"/>
  <c r="P35" i="1" s="1"/>
  <c r="P36" i="1" a="1"/>
  <c r="P36" i="1" s="1"/>
  <c r="P37" i="1" a="1"/>
  <c r="P37" i="1" s="1"/>
  <c r="P38" i="1" a="1"/>
  <c r="P38" i="1" s="1"/>
  <c r="P39" i="1" a="1"/>
  <c r="P39" i="1" s="1"/>
  <c r="P40" i="1" a="1"/>
  <c r="P40" i="1" s="1"/>
  <c r="P41" i="1" a="1"/>
  <c r="P41" i="1" s="1"/>
  <c r="P42" i="1" a="1"/>
  <c r="P42" i="1" s="1"/>
  <c r="P43" i="1" a="1"/>
  <c r="P43" i="1" s="1"/>
  <c r="P44" i="1" a="1"/>
  <c r="P44" i="1" s="1"/>
  <c r="P45" i="1" a="1"/>
  <c r="P45" i="1" s="1"/>
  <c r="P46" i="1" a="1"/>
  <c r="P46" i="1" s="1"/>
  <c r="P47" i="1" a="1"/>
  <c r="P47" i="1" s="1"/>
  <c r="P48" i="1" a="1"/>
  <c r="P48" i="1" s="1"/>
  <c r="P49" i="1" a="1"/>
  <c r="P49" i="1" s="1"/>
  <c r="P50" i="1" a="1"/>
  <c r="P50" i="1" s="1"/>
  <c r="P51" i="1" a="1"/>
  <c r="P51" i="1" s="1"/>
  <c r="P52" i="1" a="1"/>
  <c r="P52" i="1" s="1"/>
  <c r="P53" i="1" a="1"/>
  <c r="P53" i="1" s="1"/>
  <c r="P54" i="1" a="1"/>
  <c r="P54" i="1" s="1"/>
  <c r="P55" i="1" a="1"/>
  <c r="P55" i="1" s="1"/>
  <c r="P56" i="1" a="1"/>
  <c r="P56" i="1" s="1"/>
  <c r="P57" i="1" a="1"/>
  <c r="P57" i="1" s="1"/>
  <c r="P58" i="1" a="1"/>
  <c r="P58" i="1" s="1"/>
  <c r="P59" i="1" a="1"/>
  <c r="P59" i="1" s="1"/>
  <c r="P60" i="1" a="1"/>
  <c r="P60" i="1" s="1"/>
  <c r="P61" i="1" a="1"/>
  <c r="P61" i="1" s="1"/>
  <c r="P62" i="1" a="1"/>
  <c r="P62" i="1" s="1"/>
  <c r="P63" i="1" a="1"/>
  <c r="P63" i="1" s="1"/>
  <c r="P64" i="1" a="1"/>
  <c r="P64" i="1" s="1"/>
  <c r="P65" i="1" a="1"/>
  <c r="P65" i="1" s="1"/>
  <c r="P66" i="1" a="1"/>
  <c r="P66" i="1" s="1"/>
  <c r="P67" i="1" a="1"/>
  <c r="P67" i="1" s="1"/>
  <c r="P68" i="1" a="1"/>
  <c r="P68" i="1" s="1"/>
  <c r="P69" i="1" a="1"/>
  <c r="P69" i="1" s="1"/>
  <c r="P70" i="1" a="1"/>
  <c r="P70" i="1" s="1"/>
  <c r="P71" i="1" a="1"/>
  <c r="P71" i="1" s="1"/>
  <c r="P72" i="1" a="1"/>
  <c r="P72" i="1" s="1"/>
  <c r="P73" i="1" a="1"/>
  <c r="P73" i="1" s="1"/>
  <c r="P74" i="1" a="1"/>
  <c r="P74" i="1" s="1"/>
  <c r="P75" i="1" a="1"/>
  <c r="P75" i="1" s="1"/>
  <c r="P76" i="1" a="1"/>
  <c r="P76" i="1" s="1"/>
  <c r="P77" i="1" a="1"/>
  <c r="P77" i="1" s="1"/>
  <c r="P78" i="1" a="1"/>
  <c r="P78" i="1" s="1"/>
  <c r="P79" i="1" a="1"/>
  <c r="P79" i="1" s="1"/>
  <c r="P80" i="1" a="1"/>
  <c r="P80" i="1" s="1"/>
  <c r="P81" i="1" a="1"/>
  <c r="P81" i="1" s="1"/>
  <c r="P82" i="1" a="1"/>
  <c r="P82" i="1" s="1"/>
  <c r="P83" i="1" a="1"/>
  <c r="P83" i="1" s="1"/>
  <c r="P84" i="1" a="1"/>
  <c r="P84" i="1" s="1"/>
  <c r="P85" i="1" a="1"/>
  <c r="P85" i="1" s="1"/>
  <c r="P86" i="1" a="1"/>
  <c r="P86" i="1" s="1"/>
  <c r="P87" i="1" a="1"/>
  <c r="P87" i="1" s="1"/>
  <c r="P88" i="1" a="1"/>
  <c r="P88" i="1" s="1"/>
  <c r="P89" i="1" a="1"/>
  <c r="P89" i="1" s="1"/>
  <c r="P90" i="1" a="1"/>
  <c r="P90" i="1" s="1"/>
  <c r="P91" i="1" a="1"/>
  <c r="P91" i="1" s="1"/>
  <c r="P92" i="1" a="1"/>
  <c r="P92" i="1" s="1"/>
  <c r="P93" i="1" a="1"/>
  <c r="P93" i="1" s="1"/>
  <c r="P94" i="1" a="1"/>
  <c r="P94" i="1" s="1"/>
  <c r="P95" i="1" a="1"/>
  <c r="P95" i="1" s="1"/>
  <c r="P96" i="1" a="1"/>
  <c r="P96" i="1" s="1"/>
  <c r="P97" i="1" a="1"/>
  <c r="P97" i="1" s="1"/>
  <c r="P98" i="1" a="1"/>
  <c r="P98" i="1" s="1"/>
  <c r="P99" i="1" a="1"/>
  <c r="P99" i="1" s="1"/>
  <c r="P100" i="1" a="1"/>
  <c r="P100" i="1" s="1"/>
  <c r="P101" i="1" a="1"/>
  <c r="P101" i="1" s="1"/>
  <c r="P102" i="1" a="1"/>
  <c r="P102" i="1" s="1"/>
  <c r="P103" i="1" a="1"/>
  <c r="P103" i="1" s="1"/>
  <c r="P104" i="1" a="1"/>
  <c r="P104" i="1" s="1"/>
  <c r="P105" i="1" a="1"/>
  <c r="P105" i="1" s="1"/>
  <c r="P106" i="1" a="1"/>
  <c r="P106" i="1" s="1"/>
  <c r="P107" i="1" a="1"/>
  <c r="P107" i="1" s="1"/>
  <c r="P108" i="1" a="1"/>
  <c r="P108" i="1" s="1"/>
  <c r="P109" i="1" a="1"/>
  <c r="P109" i="1" s="1"/>
  <c r="P2" i="1" a="1"/>
  <c r="P2" i="1" s="1"/>
  <c r="L3" i="9" a="1"/>
  <c r="L3" i="9" s="1"/>
  <c r="L4" i="9" a="1"/>
  <c r="L4" i="9" s="1"/>
  <c r="L5" i="9" a="1"/>
  <c r="L5" i="9" s="1"/>
  <c r="L6" i="9" a="1"/>
  <c r="L6" i="9" s="1"/>
  <c r="L7" i="9" a="1"/>
  <c r="L7" i="9" s="1"/>
  <c r="L8" i="9" a="1"/>
  <c r="L8" i="9" s="1"/>
  <c r="L9" i="9" a="1"/>
  <c r="L9" i="9" s="1"/>
  <c r="L10" i="9" a="1"/>
  <c r="L10" i="9" s="1"/>
  <c r="L11" i="9" a="1"/>
  <c r="L11" i="9" s="1"/>
  <c r="L12" i="9" a="1"/>
  <c r="L12" i="9" s="1"/>
  <c r="L13" i="9" a="1"/>
  <c r="L13" i="9" s="1"/>
  <c r="L14" i="9" a="1"/>
  <c r="L14" i="9" s="1"/>
  <c r="L15" i="9" a="1"/>
  <c r="L15" i="9" s="1"/>
  <c r="L16" i="9" a="1"/>
  <c r="L16" i="9" s="1"/>
  <c r="L17" i="9" a="1"/>
  <c r="L17" i="9" s="1"/>
  <c r="L18" i="9" a="1"/>
  <c r="L18" i="9" s="1"/>
  <c r="L19" i="9" a="1"/>
  <c r="L19" i="9" s="1"/>
  <c r="L20" i="9" a="1"/>
  <c r="L20" i="9" s="1"/>
  <c r="L21" i="9" a="1"/>
  <c r="L21" i="9" s="1"/>
  <c r="L22" i="9" a="1"/>
  <c r="L22" i="9" s="1"/>
  <c r="L23" i="9" a="1"/>
  <c r="L23" i="9" s="1"/>
  <c r="L24" i="9" a="1"/>
  <c r="L24" i="9" s="1"/>
  <c r="L25" i="9" a="1"/>
  <c r="L25" i="9" s="1"/>
  <c r="L26" i="9" a="1"/>
  <c r="L26" i="9" s="1"/>
  <c r="L27" i="9" a="1"/>
  <c r="L27" i="9" s="1"/>
  <c r="L28" i="9" a="1"/>
  <c r="L28" i="9" s="1"/>
  <c r="L29" i="9" a="1"/>
  <c r="L29" i="9" s="1"/>
  <c r="L30" i="9" a="1"/>
  <c r="L30" i="9" s="1"/>
  <c r="L31" i="9" a="1"/>
  <c r="L31" i="9" s="1"/>
  <c r="L32" i="9" a="1"/>
  <c r="L32" i="9" s="1"/>
  <c r="L33" i="9" a="1"/>
  <c r="L33" i="9" s="1"/>
  <c r="L34" i="9" a="1"/>
  <c r="L34" i="9" s="1"/>
  <c r="L35" i="9" a="1"/>
  <c r="L35" i="9" s="1"/>
  <c r="L36" i="9" a="1"/>
  <c r="L36" i="9" s="1"/>
  <c r="L37" i="9" a="1"/>
  <c r="L37" i="9" s="1"/>
  <c r="L38" i="9" a="1"/>
  <c r="L38" i="9" s="1"/>
  <c r="L39" i="9" a="1"/>
  <c r="L39" i="9" s="1"/>
  <c r="L40" i="9" a="1"/>
  <c r="L40" i="9" s="1"/>
  <c r="L41" i="9" a="1"/>
  <c r="L41" i="9" s="1"/>
  <c r="L42" i="9" a="1"/>
  <c r="L42" i="9" s="1"/>
  <c r="L43" i="9" a="1"/>
  <c r="L43" i="9" s="1"/>
  <c r="L44" i="9" a="1"/>
  <c r="L44" i="9" s="1"/>
  <c r="L45" i="9" a="1"/>
  <c r="L45" i="9" s="1"/>
  <c r="L46" i="9" a="1"/>
  <c r="L46" i="9" s="1"/>
  <c r="L47" i="9" a="1"/>
  <c r="L47" i="9" s="1"/>
  <c r="L48" i="9" a="1"/>
  <c r="L48" i="9" s="1"/>
  <c r="L49" i="9" a="1"/>
  <c r="L49" i="9" s="1"/>
  <c r="L50" i="9" a="1"/>
  <c r="L50" i="9" s="1"/>
  <c r="L51" i="9" a="1"/>
  <c r="L51" i="9" s="1"/>
  <c r="L52" i="9" a="1"/>
  <c r="L52" i="9" s="1"/>
  <c r="L53" i="9" a="1"/>
  <c r="L53" i="9" s="1"/>
  <c r="L54" i="9" a="1"/>
  <c r="L54" i="9" s="1"/>
  <c r="L55" i="9" a="1"/>
  <c r="L55" i="9" s="1"/>
  <c r="L56" i="9" a="1"/>
  <c r="L56" i="9" s="1"/>
  <c r="L57" i="9" a="1"/>
  <c r="L57" i="9" s="1"/>
  <c r="L58" i="9" a="1"/>
  <c r="L58" i="9" s="1"/>
  <c r="L59" i="9" a="1"/>
  <c r="L59" i="9" s="1"/>
  <c r="L60" i="9" a="1"/>
  <c r="L60" i="9" s="1"/>
  <c r="L61" i="9" a="1"/>
  <c r="L61" i="9" s="1"/>
  <c r="L62" i="9" a="1"/>
  <c r="L62" i="9" s="1"/>
  <c r="L63" i="9" a="1"/>
  <c r="L63" i="9" s="1"/>
  <c r="L64" i="9" a="1"/>
  <c r="L64" i="9" s="1"/>
  <c r="L65" i="9" a="1"/>
  <c r="L65" i="9" s="1"/>
  <c r="L66" i="9" a="1"/>
  <c r="L66" i="9" s="1"/>
  <c r="L67" i="9" a="1"/>
  <c r="L67" i="9" s="1"/>
  <c r="L68" i="9" a="1"/>
  <c r="L68" i="9" s="1"/>
  <c r="L69" i="9" a="1"/>
  <c r="L69" i="9" s="1"/>
  <c r="L70" i="9" a="1"/>
  <c r="L70" i="9" s="1"/>
  <c r="L71" i="9" a="1"/>
  <c r="L71" i="9" s="1"/>
  <c r="L72" i="9" a="1"/>
  <c r="L72" i="9" s="1"/>
  <c r="L73" i="9" a="1"/>
  <c r="L73" i="9" s="1"/>
  <c r="L74" i="9" a="1"/>
  <c r="L74" i="9" s="1"/>
  <c r="L75" i="9" a="1"/>
  <c r="L75" i="9" s="1"/>
  <c r="L76" i="9" a="1"/>
  <c r="L76" i="9" s="1"/>
  <c r="L77" i="9" a="1"/>
  <c r="L77" i="9" s="1"/>
  <c r="L78" i="9" a="1"/>
  <c r="L78" i="9" s="1"/>
  <c r="L79" i="9" a="1"/>
  <c r="L79" i="9" s="1"/>
  <c r="L80" i="9" a="1"/>
  <c r="L80" i="9" s="1"/>
  <c r="L81" i="9" a="1"/>
  <c r="L81" i="9" s="1"/>
  <c r="L82" i="9" a="1"/>
  <c r="L82" i="9" s="1"/>
  <c r="L83" i="9" a="1"/>
  <c r="L83" i="9" s="1"/>
  <c r="L84" i="9" a="1"/>
  <c r="L84" i="9" s="1"/>
  <c r="L85" i="9" a="1"/>
  <c r="L85" i="9" s="1"/>
  <c r="L86" i="9" a="1"/>
  <c r="L86" i="9" s="1"/>
  <c r="L87" i="9" a="1"/>
  <c r="L87" i="9" s="1"/>
  <c r="L88" i="9" a="1"/>
  <c r="L88" i="9" s="1"/>
  <c r="L89" i="9" a="1"/>
  <c r="L89" i="9" s="1"/>
  <c r="L90" i="9" a="1"/>
  <c r="L90" i="9" s="1"/>
  <c r="L91" i="9" a="1"/>
  <c r="L91" i="9" s="1"/>
  <c r="L92" i="9" a="1"/>
  <c r="L92" i="9" s="1"/>
  <c r="L93" i="9" a="1"/>
  <c r="L93" i="9" s="1"/>
  <c r="L94" i="9" a="1"/>
  <c r="L94" i="9" s="1"/>
  <c r="L95" i="9" a="1"/>
  <c r="L95" i="9" s="1"/>
  <c r="L96" i="9" a="1"/>
  <c r="L96" i="9" s="1"/>
  <c r="L97" i="9" a="1"/>
  <c r="L97" i="9" s="1"/>
  <c r="L98" i="9" a="1"/>
  <c r="L98" i="9" s="1"/>
  <c r="L99" i="9" a="1"/>
  <c r="L99" i="9" s="1"/>
  <c r="L100" i="9" a="1"/>
  <c r="L100" i="9" s="1"/>
  <c r="L101" i="9" a="1"/>
  <c r="L101" i="9" s="1"/>
  <c r="L102" i="9" a="1"/>
  <c r="L102" i="9" s="1"/>
  <c r="L103" i="9" a="1"/>
  <c r="L103" i="9" s="1"/>
  <c r="L104" i="9" a="1"/>
  <c r="L104" i="9" s="1"/>
  <c r="L105" i="9" a="1"/>
  <c r="L105" i="9" s="1"/>
  <c r="L106" i="9" a="1"/>
  <c r="L106" i="9" s="1"/>
  <c r="L107" i="9" a="1"/>
  <c r="L107" i="9" s="1"/>
  <c r="L108" i="9" a="1"/>
  <c r="L108" i="9" s="1"/>
  <c r="L109" i="9" a="1"/>
  <c r="L109" i="9" s="1"/>
  <c r="L2" i="9" a="1"/>
  <c r="L2" i="9" s="1"/>
  <c r="J2" i="8"/>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A2" i="7" a="1"/>
  <c r="A2" i="7" s="1"/>
  <c r="A12" i="7" a="1"/>
  <c r="C15" i="7" s="1"/>
  <c r="O76" i="1"/>
  <c r="O77" i="1"/>
  <c r="O82" i="1"/>
  <c r="O105" i="1"/>
  <c r="O89" i="1"/>
  <c r="O107" i="1"/>
  <c r="O101" i="1"/>
  <c r="O100" i="1"/>
  <c r="O99" i="1"/>
  <c r="O102" i="1"/>
  <c r="O91" i="1"/>
  <c r="O97" i="1"/>
  <c r="O108" i="1"/>
  <c r="O106" i="1"/>
  <c r="O88" i="1"/>
  <c r="O92" i="1"/>
  <c r="O81" i="1"/>
  <c r="O83" i="1"/>
  <c r="O32" i="1"/>
  <c r="O85" i="1"/>
  <c r="O78" i="1"/>
  <c r="O90" i="1"/>
  <c r="O109" i="1"/>
  <c r="O104" i="1"/>
  <c r="O103" i="1"/>
  <c r="O87" i="1"/>
  <c r="O74" i="1"/>
  <c r="O95" i="1"/>
  <c r="O94" i="1"/>
  <c r="O84" i="1"/>
  <c r="O98" i="1"/>
  <c r="O93" i="1"/>
  <c r="O75" i="1"/>
  <c r="O86" i="1"/>
  <c r="O80" i="1"/>
  <c r="O15" i="1"/>
  <c r="O3" i="1"/>
  <c r="O21" i="1"/>
  <c r="O17" i="1"/>
  <c r="O64" i="1"/>
  <c r="O33" i="1"/>
  <c r="O26" i="1"/>
  <c r="O36" i="1"/>
  <c r="O34" i="1"/>
  <c r="O25" i="1"/>
  <c r="O27" i="1"/>
  <c r="O24" i="1"/>
  <c r="O5" i="1"/>
  <c r="O23" i="1"/>
  <c r="O29" i="1"/>
  <c r="O19" i="1"/>
  <c r="O9" i="1"/>
  <c r="O8" i="1"/>
  <c r="O22" i="1"/>
  <c r="O37" i="1"/>
  <c r="O16" i="1"/>
  <c r="O7" i="1"/>
  <c r="O10" i="1"/>
  <c r="O35" i="1"/>
  <c r="O65" i="1"/>
  <c r="O66" i="1"/>
  <c r="O4" i="1"/>
  <c r="O2" i="1"/>
  <c r="O14" i="1"/>
  <c r="O28" i="1"/>
  <c r="O20" i="1"/>
  <c r="O12" i="1"/>
  <c r="O13" i="1"/>
  <c r="O6" i="1"/>
  <c r="O18" i="1"/>
  <c r="O11" i="1"/>
  <c r="O41" i="1"/>
  <c r="O38" i="1"/>
  <c r="O39" i="1"/>
  <c r="O31" i="1"/>
  <c r="O48" i="1"/>
  <c r="O56" i="1"/>
  <c r="O72" i="1"/>
  <c r="O70" i="1"/>
  <c r="O68" i="1"/>
  <c r="O58" i="1"/>
  <c r="O57" i="1"/>
  <c r="O52" i="1"/>
  <c r="O63" i="1"/>
  <c r="O45" i="1"/>
  <c r="O53" i="1"/>
  <c r="O73" i="1"/>
  <c r="O67" i="1"/>
  <c r="O51" i="1"/>
  <c r="O69" i="1"/>
  <c r="O60" i="1"/>
  <c r="O47" i="1"/>
  <c r="O49" i="1"/>
  <c r="O50" i="1"/>
  <c r="O30" i="1"/>
  <c r="O96" i="1"/>
  <c r="O62" i="1"/>
  <c r="O40" i="1"/>
  <c r="O43" i="1"/>
  <c r="O54" i="1"/>
  <c r="O59" i="1"/>
  <c r="O42" i="1"/>
  <c r="O46" i="1"/>
  <c r="O61" i="1"/>
  <c r="O44" i="1"/>
  <c r="O55" i="1"/>
  <c r="O71" i="1"/>
  <c r="O79" i="1"/>
  <c r="I6" i="4" l="1"/>
  <c r="I3" i="4"/>
  <c r="J3" i="4" s="1"/>
  <c r="I5" i="4"/>
  <c r="J5" i="4" s="1"/>
  <c r="I4" i="4"/>
  <c r="J4" i="4" s="1"/>
  <c r="D6" i="7"/>
  <c r="B6" i="7"/>
  <c r="C6" i="7"/>
  <c r="C14" i="7"/>
  <c r="B14" i="7"/>
  <c r="D18" i="7"/>
  <c r="C18" i="7"/>
  <c r="B15" i="7"/>
  <c r="B18" i="7"/>
  <c r="D14" i="7"/>
  <c r="D17" i="7"/>
  <c r="C17" i="7"/>
  <c r="B17" i="7"/>
  <c r="D16" i="7"/>
  <c r="C16" i="7"/>
  <c r="B13" i="7"/>
  <c r="C13" i="7"/>
  <c r="D15" i="7"/>
  <c r="B16" i="7"/>
  <c r="D13" i="7"/>
  <c r="B7" i="7"/>
  <c r="C3" i="7"/>
  <c r="C7" i="7"/>
  <c r="C5" i="7"/>
  <c r="B3" i="7"/>
  <c r="C4" i="7"/>
  <c r="D7" i="7"/>
  <c r="B4" i="7"/>
  <c r="D4" i="7"/>
  <c r="B8" i="7"/>
  <c r="D3" i="7"/>
  <c r="C8" i="7"/>
  <c r="D5" i="7"/>
  <c r="B5" i="7"/>
  <c r="D8" i="7"/>
  <c r="A12" i="7"/>
  <c r="E4" i="7" l="1"/>
  <c r="E6" i="7"/>
  <c r="E17" i="7"/>
  <c r="E7" i="7"/>
  <c r="E8" i="7"/>
  <c r="E5" i="7"/>
  <c r="E3" i="7"/>
  <c r="E15" i="7"/>
  <c r="E14" i="7"/>
  <c r="E13" i="7"/>
  <c r="E16" i="7"/>
  <c r="E18" i="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<sst xmlns="http://schemas.openxmlformats.org/spreadsheetml/2006/main" count="4714" uniqueCount="373">
  <si>
    <t>Run</t>
  </si>
  <si>
    <t>Model</t>
  </si>
  <si>
    <t>Category</t>
  </si>
  <si>
    <t>Question</t>
  </si>
  <si>
    <t>Rouge-L IU Recall</t>
  </si>
  <si>
    <t>BERT IU Recall</t>
  </si>
  <si>
    <t>BERT Precision</t>
  </si>
  <si>
    <t>BERT Recall</t>
  </si>
  <si>
    <t>BERT F1</t>
  </si>
  <si>
    <t>SBERT</t>
  </si>
  <si>
    <t>Ground Truth</t>
  </si>
  <si>
    <t>Response</t>
  </si>
  <si>
    <t>Run 1</t>
  </si>
  <si>
    <t>Gemini 3 Pro</t>
  </si>
  <si>
    <t>Data</t>
  </si>
  <si>
    <t>What kind of data was the system trained on?</t>
  </si>
  <si>
    <t>The data the system was trained on is tabular survey data provided in two csv files. One file contains the features including protected (e.g. sex, age, education, employment), behavioural (e.g. social distancing, mask wearing, hand washing), opinion (H1N1 concern, doctor vaccine recommendation), health (e.g. chronic medial conditions, health insurance) and sociodemographic (e.g. geographical region, employment industry) characteristics. The other file contains their labels/ground-truth which indicate if a respondent received the H1N1 vaccination or not (Yes = 1, No = 0).</t>
  </si>
  <si>
    <t>The system was trained on data from the National 2009 H1N1 Flu Survey (NHFS), which includes information about 26,707 individuals. The data consists of 35 features covering demographic characteristics (e.g., age, race, sex), socioeconomic status, opinions about H1N1 and vaccination (e.g., concern, knowledge, effectiveness), and behavioural traits (e.g., mask-wearing, hand washing).</t>
  </si>
  <si>
    <t>What is the source of the training data?</t>
  </si>
  <si>
    <t>Data is sourced from DrivenData's 'Flu Shot Learning: Predict H1N1 and Seasonal Flu Vaccines' competition and originates from the US National 2009 H1N1 Flu Survey (NHFS). This survey was conducted between October 2009 and June 2010 as a one-time telephone survey of households to monitor vaccinations during the 2009-2010 flu season in response to the 2009 H1N1 pandemic.</t>
  </si>
  <si>
    <t>The data originates from the National 2009 H1N1 Flu Survey (NHFS), which was sponsored by the National Center for Immunization and Respiratory Diseases (NCIRD) and conducted jointly by the NCIRD and the National Center for Health Statistics (NCHS), Centers for Disease Control and Prevention (CDC). The specific dataset used was downloaded from DrivenData's 'Flu Shot Learning' competition.</t>
  </si>
  <si>
    <t>How were the labels/ground-truth produced?</t>
  </si>
  <si>
    <t>As part of the US National 2009 H1N1 Flu Survey (NHFS) a telephone survey was conducted. Respondents self reported if they had received the H1N1 vaccination. This is a binary feature indicating if they received the H1N1 vaccination or not (Yes = 1, No = 0).</t>
  </si>
  <si>
    <t>The labels are based on self-reported survey responses from the National 2009 H1N1 Flu Survey, where respondents indicated whether they had received the H1N1 flu vaccine. This binary response (Yes/No) serves as the ground truth for training the model.</t>
  </si>
  <si>
    <t>What is the sample size of the training data?</t>
  </si>
  <si>
    <t>There are a total of 26,707 observations with 37 features. This was split into training and testing data using an 80:20 split. Training data is 21,365 rows, testing data is 5,342 rows.</t>
  </si>
  <si>
    <t>The total dataset contains 26,707 observations. This was split into training and testing sets; the test set used for evaluating the model contains 5,342 rows, suggesting an approximate 80/20 split, leaving around 21,365 records for training.</t>
  </si>
  <si>
    <t>What dataset(s) is the system NOT using?</t>
  </si>
  <si>
    <t>The system is not using any additional data such as public health datasets, clinical data, or electronic health and/or medical records. Only the survey data provided by the US National 2009 H1N1 Flu Survey (NHFS) is being used by the system.</t>
  </si>
  <si>
    <t>The system explicitly excludes the `seasonal_vaccine` variable (whether the respondent received the seasonal flu vaccine) and `respondent_id`. The `seasonal_vaccine` feature was removed to avoid feature leakage and ensure the model focuses solely on predicting H1N1 vaccine uptake based on other factors.</t>
  </si>
  <si>
    <t>What are the potential limitations/biases of the data?</t>
  </si>
  <si>
    <t>The interviews were conducted as a telephone survey for people aged 6 months or older living in the United States. This limits the sociodemographic representation of the overall (global) population and the attitudes towards the H1N1 vaccination. This means the data has limited transferability, and cannot be used to effectively model other countries and/or demographics, which may be under represented in the data. These respondents were self reporting on their vaccination status of the H1N1 vaccine, so there may be inaccuracies.</t>
  </si>
  <si>
    <t>The data is from a telephone survey (landline and mobile) conducted in 2009-2010, which may exclude populations without phone access or those less likely to participate in phone surveys. Additionally, as a self-reported survey, it is subject to recall bias or social desirability bias. The dataset is also specific to the United States context during the 2009 H1N1 pandemic, so patterns may not generalize to other regions or future pandemics.</t>
  </si>
  <si>
    <t>Output</t>
  </si>
  <si>
    <t>What kind of output does the system give?</t>
  </si>
  <si>
    <t>The system generates many outputs in tabular and graphical form. The main output is a numerical array of predicted probabilities on the interval [0, 1]. Exploratory data analysis, model performance, and explanations are presented in tables and plots. The system also outputs an interactive What-If? dashboard.</t>
  </si>
  <si>
    <t>The system outputs a probability (a score between 0 and 1) representing the likelihood that a specific individual received the H1N1 vaccine. It also provides a binary classification (0 for 'No', 1 for 'Yes') based on a threshold of 0.5.</t>
  </si>
  <si>
    <t>What does the system output mean?</t>
  </si>
  <si>
    <t>The main system output represents a predicted probability on the interval [0, 1]. This is the likelihood, or confidence, that an observation receives the H1N1 vaccination. A higher probability indicates the model has a higher confidence that the observation will receive the H1N1 vaccination. Plots describe the data, visualising the distribution of the target variable (i.e. is the respondent receives the H1N1 vaccine). Tabular data (classification report, confusion matrix) explains model performance. Graphical plots (AUC-ROC, feature importance, partial dependence, accumulated local effect) provide detailed explanations about global and local model behaviour, such as the features that influence predictions, and how they influence these predictions. The interactive What-If? dashboard allows new predictions to be generated, with graphical plots (breakdown, Shapley values, ceteris paribus) explaining how this prediction was calculated.</t>
  </si>
  <si>
    <t>A binary output of '1' predicts that the patient is likely to have received the H1N1 vaccine, while '0' suggests they have not. The underlying probability score indicates the model's confidence in this prediction; a higher score suggests a higher likelihood of vaccination.</t>
  </si>
  <si>
    <t>What is the scope of the system's capability? Can it do...?</t>
  </si>
  <si>
    <t>The system acts as a prediction tool and explanation interface for H1N1 vaccination uptake. The system's What-If? dashboard allows the user to create new observations by changing a selection of the most important numerical and categorical features, generating a prediction for this observation. Explanations are provided which show the feature contributions to this prediction (breakdown, Shapley values, partial dependence, accumulated local effects, ceteris paribus plots).</t>
  </si>
  <si>
    <t>The system is capable of predicting the H1N1 vaccine uptake status for an individual based on their demographic and behavioural data. It is strictly a classification model for this specific outcome and does not predict seasonal flu uptake or other health outcomes.</t>
  </si>
  <si>
    <t>How is the output used for other system component(s)?</t>
  </si>
  <si>
    <t>The labels/ground-truth and predictions are used to evaluate model performance using metrics such as recall, precision, F1, accuracy, and AUC scores. They also produce a confusion matrix and classification report, which shows how accurately the model predicts the actual vaccination status of an observation. An explanation object is created in DALEX using the model and data it was trained/tested on. This produces explanations on a global and local level, and determines which features are used for the What-If? dahboard.</t>
  </si>
  <si>
    <t>The model's predictions are used to populate a 'What-If? Dashboard'. This dashboard allows users to modify patient features (like doctor recommendation or age) and immediately see how the predicted probability of vaccination changes.</t>
  </si>
  <si>
    <t>How should I best utilize the output of the system?</t>
  </si>
  <si>
    <t>The output of the system can be utilised for AI assisted decision making when evaluating H1N1 vaccination uptake. The output can also be used to identify important features and characteristics that influence the likelihood of receiving the H1N1 vaccine, which helps to inform best practices when conducting a population-wide vaccination campaigns and targeting strategies.</t>
  </si>
  <si>
    <t>Healthcare professionals can use the probability scores to identify individuals who are unlikely to be vaccinated (low probability scores). This allows for targeted educational interventions or discussions, particularly by focusing on modifiable factors like `doctor_recc_h1n1` (doctor's recommendation) which significantly influences the prediction.</t>
  </si>
  <si>
    <t>How should the output fit in my workflow?</t>
  </si>
  <si>
    <t>The output can used pre-consultation with patients in order to assess their initial level of vaccine hesitancy, and what characteristics influence this. It can also provide insight into the most effective changes to make in order to promote the H1N1 vaccination. The output can also be used in a wider consultation setting when making recommendations about public health and vaccines, providing insight and analysis about overall attitudes towards the H1N1 vaccine, and what influences these attitudes</t>
  </si>
  <si>
    <t>The output can be used during patient consultations or public health planning to triage resources. For example, knowing that a doctor's recommendation is a top factor, a clinician can use the 'What-If' dashboard to simulate the impact of recommending the vaccine to a hesitant patient, visually demonstrating the potential increase in their likelihood of uptake.</t>
  </si>
  <si>
    <t>What is the source of the information object(s)?</t>
  </si>
  <si>
    <t>The information objects are the predictions and explanation interface (i.e. What-If? dashboard). These predictions are generated from a XGBoost classifier model which has been hyperparameter tuned and trained on protected (e.g. sex, age, education, employment), behavioural (e.g. social distancing, mask wearing, hand washing), opinion (H1N1 concern, doctor vaccine recommendation), health (e.g. chronic medial conditions, health insurance) and sociodemographic (e.g. geographical region, employment industry) characteristics from the National 2009 H1N1 Flu Survey (NHFS) data. The explanation interface is produced from DALEX, which uses the XGBoost classifier model and its training/testing data. This produces an explanation object which creates global (AUC_ROC, feature importance, partial dependence, accumulated local effects) and local (breakdown, Shapley values, ceteris paribus) explanations.</t>
  </si>
  <si>
    <t>The information comes from the trained XGBoost model, which learned patterns from the NHFS dataset. Specific patient predictions are generated by applying this model to the input features provided for that patient.</t>
  </si>
  <si>
    <t>What is the scope of the output data?</t>
  </si>
  <si>
    <t>The scope of the output data relates to vaccine hesitancy and the overall uptake of the H1N1 vaccine. The output predicts if observations with receive the H1N1 vaccine and provides explanations about the features which contribute to these predictions. This is using data from the National 2009 H1N1 Flu Survey (NHFS), which has various protected (e.g. sex, age, education, employment), behavioural (e.g. social distancing, mask wearing, hand washing), opinion (H1N1 concern, doctor vaccine recommendation), health (e.g. chronic medial conditions, health insurance) and sociodemographic (e.g. geographical region, employment industry) characteristics.</t>
  </si>
  <si>
    <t>The output data is scoped to the individual level. The system generates a prediction for each single respondent or patient profile processed.</t>
  </si>
  <si>
    <t>What is the amount of the output data?</t>
  </si>
  <si>
    <t>The system outputs a single prediction per observation as a predicted probability on the interval [0, 1]. Performance metrics are presented in tabular form through a classification report and confusion matrix. Explanations show global and local model behaviour. These are displayed in graphical form such as ROC-AUC, feature importance, partial dependence, accumulated local effects, breakdown plots, Shapley values, and ceteris paribus plots.</t>
  </si>
  <si>
    <t>For every patient profile input, the system returns a single probability score and a single binary classification label.</t>
  </si>
  <si>
    <t>What logic is used for the initial output/recommendation?</t>
  </si>
  <si>
    <t>The prediction is a probability on the interval [0, 1], which is converted into a binary Yes = 1, No = 1 value based on a selected threshold. This was initially set to 0.5, where every predicted probability greater than or equal to 0.5 was expected to have received the H1N1 vaccine.</t>
  </si>
  <si>
    <t>The system applies a threshold of 0.5 to the predicted probability. If the probability is greater than or equal to 0.5, it predicts 'Yes' (1); otherwise, it predicts 'No' (0).</t>
  </si>
  <si>
    <t>Performance</t>
  </si>
  <si>
    <t>How accurate/precise/reliable are the predictions?</t>
  </si>
  <si>
    <t>Key performance metrics for the XGBoost classifier model are: Recall = 0.464, Precision = 0.677, F1 = 0.55, Accuracy = 0.84, AUC = 0.838. This means the system is good at identifying if an observation will receive the H1N1 vaccination or not.</t>
  </si>
  <si>
    <t>The system has an overall accuracy of 84%. However, for predicting the vaccinated class (class 1), the precision is 68% and recall is 46%, meaning it is more reliable when it predicts 'Yes' than it is at catching all 'Yes' cases.</t>
  </si>
  <si>
    <t>How often does the system make mistakes?</t>
  </si>
  <si>
    <t>The system has an accuracy of 0.84 (i.e. 84% of observations were correctly classified). This means the system makes mistakes 16% of the time.</t>
  </si>
  <si>
    <t>The system makes a mistake in approximately 16% of cases (accuracy is 0.84). In the test set of 5,342 people, it misclassified 250 unvaccinated people as vaccinated and 606 vaccinated people as unvaccinated.</t>
  </si>
  <si>
    <t>In what situations is the system likely to be correct/incorrect?</t>
  </si>
  <si>
    <t>On the test data, the model predicts 250 false positives (i.e. the model predicts the individual will receive the vaccination, but they do not), and 606 false negatives (i.e. the model predicts the individual will not receive the vaccination, but they do). Due to the dataset being imbalanced towards the negative class (i.e. No = 0), the model overpredicts an observation will not get the vaccine, which is shown with a positive class (i.e. Yes = 1) recall score of 0.46.</t>
  </si>
  <si>
    <t>The system is highly likely to be correct when predicting individuals who will *not* get the vaccine (Recall for class 0 is 0.94). It is much more likely to be incorrect when identifying those who *did* get the vaccine, missing more than half of them (Recall for class 1 is only 0.46).</t>
  </si>
  <si>
    <t>What are the limitations of the system?</t>
  </si>
  <si>
    <t>The system is limited to only the training data provided, which may be biased or under represent certain sociodemographics. It does not have access to real-time or supplementary data, such as public health datasets or electronic health records. It is a static prediction tool and explanation interface which does not update or learn from interactions.</t>
  </si>
  <si>
    <t>The primary limitation is its low sensitivity (recall) for the positive class. It identifies less than 50% of the people who actually got the vaccine. This means relying solely on the model to flag all vaccinated individuals would result in many missed cases.</t>
  </si>
  <si>
    <t>What kind of mistakes is the system likely to make?</t>
  </si>
  <si>
    <t>The system will incorrectly identify if an individual receives the vaccine or not (i.e. false positive or false negative). The explanation interface explains the global and local model behaviour, so if the model poorly represents the data or incorrectly identifies patterns and trends in the data, this will be reflected through misleading and incorrect explanations.</t>
  </si>
  <si>
    <t>The system is prone to False Negatives (missed detections). It missed 606 true cases of vaccination in the test set, compared to only 250 False Positives (false alarms). Clinically, this means it is conservative in predicting vaccination uptake.</t>
  </si>
  <si>
    <t>How (global)</t>
  </si>
  <si>
    <t>How does the system make predictions?</t>
  </si>
  <si>
    <t>The system makes predictions using a hyperparameter tuned XGBoost classifier model. This produces a predicted probability on the interval [0, 1].</t>
  </si>
  <si>
    <t>The system uses a hyperparameter-tuned XGBoost (eXtreme Gradient Boosting) classifier. This is an ensemble machine learning algorithm based on decision trees.</t>
  </si>
  <si>
    <t>What features does the system consider?</t>
  </si>
  <si>
    <t>The system considers a range of features including protected (e.g. sex, age, education, employment), behavioural (e.g. social distancing, mask wearing, hand washing), opinion (H1N1 concern, doctor vaccine recommendation), health (e.g. chronic medial conditions, health insurance) and sociodemographic (e.g. geographical region, employment industry) characteristics collected from the US National 2009 H1N1 Flu Survey (NHFS).</t>
  </si>
  <si>
    <t>The system considers 35 features, including `doctor_recc_h1n1` (doctor recommendation), `opinion_h1n1_risk`, `opinion_h1n1_vacc_effective`, `age_group`, `race`, `sex`, and various behavioral indicators like mask-wearing and hand-washing.</t>
  </si>
  <si>
    <t>What is the system's overall logic?</t>
  </si>
  <si>
    <t>The overall logic of the system is to generate individual level predictions for H1N1 vaccine uptake, and provide explanations through the What-If? dahsboard. Model performance is evaluated, and explanations are provided on both a global (model) and local (prediction) level.</t>
  </si>
  <si>
    <t>The model uses a gradient boosting framework, building multiple decision trees sequentially to correct the errors of previous trees. It combines the inputs non-linearly to calculate a probability score.</t>
  </si>
  <si>
    <t>How does it weigh different features?</t>
  </si>
  <si>
    <t>XGBoost splits nodes by maximising gain, which measures how much a split reduces the prediction error (loss function). Each feature's usefulness is measured by how often and how effectively it is chosen to split nodes during tree construction. Features that produce greater reductions in loss get selected more often. Internally, each split's 'gain' (improvement in the objective) is stored - this can be viewed as a weight for that feature.</t>
  </si>
  <si>
    <t>The most influential features are whether a doctor recommended the H1N1 vaccine (`doctor_recc_h1n1`), the patient's opinion on the risk of H1N1 (`opinion_h1n1_risk`), and their opinion on the vaccine's effectiveness (`opinion_h1n1_vacc_effective`). These three factors significantly outweigh others in importance.</t>
  </si>
  <si>
    <t>What kind of rules does it follow?</t>
  </si>
  <si>
    <t>The system uses a pipeline for processing data. Columns are transformed to handle missing values in the data. Missing numerical features are imputed with the most frequent observation (i.e. mode). Missing categorical categorical features are replaced with the string value 'missing.' Categorical variables are then one-hot encoded into a binary matrix. This processed data is used to train and hyperparameter tune a XGBoost classifier model. The predictions are then converted into a binary Yes = 1, No = 0 value based on a certain threshold (i.e. 0.5).</t>
  </si>
  <si>
    <t>The system does not follow simple 'if-then' rules like a flowchart. Instead, it follows complex, non-linear patterns learned from the data, represented by thousands of decision paths in the XGBoost ensemble.</t>
  </si>
  <si>
    <t>What are the top rules/features that determine its predictions?</t>
  </si>
  <si>
    <t>There are three features which are significantly more influential than others. These are: if the doctor recommends the H1N1 vaccine (doctor_recc_h1n1), how much of a risk the individual considers the H1N1 virus (opinion_h1n1_risk), and if the individual believes the vaccine is effective (opinion_h1n1_vacc_effective). This means an observation is more likely to get the vaccine if a doctor recommends the vaccine, they view the H1N1 as a high risk, and they believe the H1N1 vaccine is effective.</t>
  </si>
  <si>
    <t>The top determinant is `doctor_recc_h1n1` (Doctor's recommendation). `opinion_h1n1_risk` and `opinion_h1n1_vacc_effective` are the next most critical drivers. Demographic features like `age_group` and `health_worker` status also play a role but are less dominant.</t>
  </si>
  <si>
    <t>What kind of algorithm is used?</t>
  </si>
  <si>
    <t>The algorithm is a hyperparameter tuned XGBoost classifier model used to generate predictions. This is an ensemble method using many individual decision trees, sequentially learning from the previous one.</t>
  </si>
  <si>
    <t>The algorithm is the XGBoost Classifier (`XGBClassifier`), a popular implementation of gradient boosted decision trees.</t>
  </si>
  <si>
    <t>How were the parameters set?</t>
  </si>
  <si>
    <t>Hyperparameter tuning was performed on an XGBoost model using a randomised 5 fold cross validation search, with a range of values provided for the parameters: n_estimators, max_depth, learning_rate, subsample, colsample_bytree, gamma, reg_alpha, reg_lambda, scale_pos_weight, min_child_weight. 50 parameter settings were sampled across 5 folds, totalling 250 fits. The objective was to maximise the ROC-AUC score.</t>
  </si>
  <si>
    <t>The model's parameters were set using `RandomizedSearchCV`, a technique that randomly tests different configurations to find the optimal hyperparameters for the dataset.</t>
  </si>
  <si>
    <t>Others</t>
  </si>
  <si>
    <t>How have updates affected the system?</t>
  </si>
  <si>
    <t>This is a static prediction tool and explanation interface which does not receive updates once it has been deployed. The input data has not been not updated, as this would require retraining of the model and producing new explanations.</t>
  </si>
  <si>
    <t>There is no information provided about updates or version history for the model itself, implying it is a static snapshot based on the provided notebooks.</t>
  </si>
  <si>
    <t>Does the system learn specifically from my interaction?</t>
  </si>
  <si>
    <t>Once the model has been trained and deployed, it is used for all subsequent predictions end explanations. The What-If? dashboard accepts manual inputs by the user which allows them to change the most important characteristics of an obervation, generating new predictions and explanations. The system does not learn from these interactions.</t>
  </si>
  <si>
    <t>No, the system does not learn from individual user interactions. It uses a pre-trained model saved in a `pickle` file.</t>
  </si>
  <si>
    <t>Why is the system using or not using a given algorithm/feature/rule/dataset?</t>
  </si>
  <si>
    <t>Different algorithms were trained and tested for model selection. The XGBoost classifier model was chosen because it had the best performance for mean accuracy and ROC-AUC values compared to the Logistic Regression, Random Forest and Multi-layer Perceptron models. Feature selection was performed and the H1N1 vaccination status was chosen as the target variable in order to model the response to the H1N1 pandemic outbreak. Seasonal vaccination features were excluded to avoid any feature leakage, and no additional data was used to avoid introducing noise into the modelling process, which would unfairly or negatively effect model performance. Only data provided by the US National 2009 H1N1 Flu Survey (NHFS) was used. Imputations were made on missing values in order to use as much data as possible for training.</t>
  </si>
  <si>
    <t>The system excludes `seasonal_vaccine` to prevent data leakage, ensuring the model predicts H1N1 uptake independently. XGBoost was likely chosen for its typically high performance on structured tabular data, and `RandomizedSearchCV` was used to objectively select the best model parameters.</t>
  </si>
  <si>
    <t>What are the results of other people using the system?</t>
  </si>
  <si>
    <t>There are no results of other people using the system. People can use and operate this system independently, with the results are isolated to their own instance. These results do not influence other users or how the system works, and they are not stored/shared in any capacity.</t>
  </si>
  <si>
    <t>The input files do not contain information about external validation or results from other users deploying this specific system.</t>
  </si>
  <si>
    <t>Who is responsible for this system? Who are the authors?</t>
  </si>
  <si>
    <t>Henry El-Jawhari is the author and developed this AI system in conjunction with the Freie Universität Berlin and Robert Koch Institute.</t>
  </si>
  <si>
    <t>The system was developed by Henry El-Jawhari at the Freie Universität (FU) Berlin and Robert Koch Institute (RKI).</t>
  </si>
  <si>
    <t>UI</t>
  </si>
  <si>
    <t>What are the affordances of the system?</t>
  </si>
  <si>
    <t>The What-If? dashboard enables users to generate new predictions and explanations, allowing them to change the input values of important characteristics for an observation. The user can investigate explanations of this prediction through breakdown, Shapley values, and ceteris paribus plots.</t>
  </si>
  <si>
    <t>The dashboard affords interaction through toggle buttons for categorical features (e.g., 'Doctor recommends H1N1 vaccine', 'Age Group') and a float slider for setting the prediction threshold. Users can click a 'Run What-If? Dashboard' button to update predictions.</t>
  </si>
  <si>
    <t>What does this UI element do?</t>
  </si>
  <si>
    <t>Using the What-If? dashboard, the toggle buttons allow the user to select and change the most important characteristics an observation. A float slider allows the user to change the prediction threshold, making their predictions of H1N1 vaccine uptake more/less conservative.</t>
  </si>
  <si>
    <t>The toggle buttons (e.g., for `doctor_recc_h1n1` or `opinion_h1n1_risk`) allow the user to change the input values for a hypothetical patient profile. The float slider adjusts the decision threshold (default 0.5) to see how it affects the binary prediction.</t>
  </si>
  <si>
    <t>Run 2</t>
  </si>
  <si>
    <t>ChatGPT 5.2 Extended Thinking</t>
  </si>
  <si>
    <t>The system was trained on responses from a household telephone survey about the 2009-10 influenza season in the United States. The inputs include respondents' behaviours (e.g., mask use and hand washing), opinions and perceived risk about H1N1, health factors (e.g., chronic conditions, insurance, health-worker status), and demographics (e.g., age group, sex, race, education, employment and household composition). The outcome it learns to predict is whether the respondent received the H1N1 flu vaccine.</t>
  </si>
  <si>
    <t>The training data come from the National 2009 H1N1 Flu Survey (NHFS), a list-assisted random-digit-dialling telephone survey conducted between October 2009 and June 2010. The NHFS was sponsored by the National Center for Immunization and Respiratory Diseases and conducted jointly with the National Center for Health Statistics at the US Centers for Disease Control and Prevention. The dataset was distributed via the “Flu Shot Learning” competition hosted by DrivenData.</t>
  </si>
  <si>
    <t>Ground truth labels are binary indicators recorded in the survey for whether a respondent received the H1N1 vaccine (Yes/No). These labels are taken from the NHFS training labels file and are linked to each respondent's survey features. No additional adjudication process beyond the survey-recorded vaccination status is described.</t>
  </si>
  <si>
    <t>There are 26,707 respondents in the combined training dataset. For modelling, the data were split 80:20 into 21,365 training records and 5,342 test records. Model performance figures reported for the system are based on that held-out test set.</t>
  </si>
  <si>
    <t>The system does not use the respondent identifier. It also excludes all seasonal influenza-related variables (any features containing “seas”, including the seasonal vaccine target) so that the H1N1 uptake prediction is not contaminated by seasonal vaccine information. No other external datasets are described as inputs.</t>
  </si>
  <si>
    <t>The data reflect a one-off US telephone survey from October 2009 to June 2010, so patterns may not generalise to different countries, healthcare systems, or current vaccination programmes. H1N1 uptake is relatively uncommon in this dataset (about 21%), which creates class imbalance and can make 'vaccinated' cases harder to detect. Several predictors have substantial missingness (for example, employment industry and occupation are missing for about half of respondents), requiring imputation that can dilute patient-specific signal. Some variables are anonymised categorical codes (e.g., geographic region, industry, occupation), which limits interpretability and subgroup assessment using those fields.</t>
  </si>
  <si>
    <t>For each individual, the system outputs a predicted probability of receiving the H1N1 vaccine and, if you apply a probability threshold (default 0.50), a corresponding binary prediction (will/will not vaccinate). In the interactive what-if interface, it also generates local explanation visuals, including a breakdown plot, Shapley value plot (top contributors), and ceteris paribus profiles showing how predictions change when selected inputs vary.</t>
  </si>
  <si>
    <t>The probability is the model's estimate of how likely a person with the entered characteristics is to have received the H1N1 vaccine in the survey context. The binary output is simply that probability compared with a chosen threshold, not a medical diagnosis or a recommendation to vaccinate. The explanation plots describe which input factors are driving the model's prediction for that specific individual, which can support transparency and review.</t>
  </si>
  <si>
    <t>The system is designed to predict H1N1 vaccine uptake (Yes/No) from survey-style behavioural, attitudinal, health, and demographic inputs. It is not a diagnostic tool for influenza, a predictor of vaccine effectiveness or adverse events, or a substitute for eligibility assessment and shared decision-making. Its outputs should be interpreted within the limits of the original survey population and time period.</t>
  </si>
  <si>
    <t>The predicted probabilities are used to compute performance summaries and to support explainability methods (variable importance and patient-level attributions). The what-if dashboard takes user-selected feature values, generates a new prediction, and then produces explanation plots (breakdown, Shapley, and ceteris paribus) based on the same underlying model.</t>
  </si>
  <si>
    <t>Use the probability as a decision-support signal for identifying who may be less likely to be vaccinated, for example to prioritise outreach or tailor counselling messages. Choose the classification threshold deliberately: a lower threshold will flag more potential vaccinators but increases false alarms, whereas a higher threshold is more conservative. Use the explanation plots to understand what is driving the prediction and to sanity-check whether the model is relying on plausible information for the individual. Do not use the output as the sole basis for patient-level decisions.</t>
  </si>
  <si>
    <t>The output is best treated as an adjunct for planning and communication—such as targeting public health messaging or preparing for vaccine-hesitancy discussions—rather than as a definitive determination. If used at an individual level, it should trigger review of the underlying inputs and discussion of modifiable factors (e.g., clinician recommendation) rather than automatic action. Any operational use should include governance around threshold choice, monitoring for performance drift, and clear documentation that the model predicts uptake, not clinical need.</t>
  </si>
  <si>
    <t>Predicted probabilities and classifications are produced by a trained XGBoost classifier applied to the provided feature values after preprocessing (imputation and one-hot encoding). The explanation objects (variable importance, breakdown, Shapley values, and ceteris paribus profiles) are generated by the DALEX explainer using the trained model together with the held-out test dataset as the reference.</t>
  </si>
  <si>
    <t>Outputs can be generated per individual (as in the what-if dashboard) or in batch form across a dataset (as in the stored test-set predictions). For each record, the core outputs are a probability of H1N1 vaccination and (if thresholded) a binary classification, with optional explanation outputs for transparency.</t>
  </si>
  <si>
    <t>In the reported evaluation, predictions were produced for 5,342 test-set records, each with a predicted probability and a thresholded binary label. In the interactive dashboard, one customised 'patient' scenario is evaluated at a time, producing one probability, one binary interpretation (given the chosen threshold), and a small set of explanation plots.</t>
  </si>
  <si>
    <t>The model first computes a probability of vaccination. A binary output is then created by comparing that probability to a user-set threshold (default 0.50 in the dashboard). All inputs are passed through the same preprocessing steps (missing-value imputation and one-hot encoding for categorical variables) before the probability is calculated.</t>
  </si>
  <si>
    <t>On the held-out test set, the model achieved an accuracy of 0.84 and an AUC of 0.838. For identifying vaccinated individuals, precision was 0.677 and recall (sensitivity) was 0.464, with an F1 score of 0.55. This means the system is substantially better at identifying non-vaccination than at reliably finding all true vaccinators at the default threshold.</t>
  </si>
  <si>
    <t>On the 5,342-person test set, there were 856 misclassifications (about 16%). These errors comprised 250 false positives (predicting vaccination when the person was not vaccinated) and 606 false negatives (missing a true vaccinated case). The error pattern is therefore dominated by missed vaccinated cases at the default threshold.</t>
  </si>
  <si>
    <t>At the default threshold, the system is much more reliable for identifying non-vaccinated individuals (94% recall for the 'not vaccinated' class) than for identifying vaccinated individuals (46% recall for the 'vaccinated' class). It is likely to be most informative when key attitudinal and recommendation variables (e.g., whether a doctor recommended vaccination, perceived vaccine effectiveness and risk) are available, because these are among the strongest drivers. Where many inputs are missing and have to be imputed—particularly employment industry/occupation—the individual-level reliability may be reduced, and the explanation outputs should be checked carefully.</t>
  </si>
  <si>
    <t>The system has limited sensitivity for vaccinated cases at the default threshold, meaning it will miss a substantial proportion of true vaccinators. It was trained on a US survey from 2009-2010 and is only evaluated on an internal 80:20 split, so external validity in other settings is unknown. The model outputs describe associations in the training data and do not establish causal drivers of vaccination behaviour. Operational deployment would require careful threshold selection and ongoing monitoring.</t>
  </si>
  <si>
    <t>The most common error is a false negative for vaccination—predicting someone will not vaccinate when they actually did (606 cases on the test set). Put differently, at the default threshold it missed about 54% of true vaccinated individuals (606 out of 1,130). False positives were less frequent (250 cases), corresponding to roughly a 6% false-positive rate among those who were not vaccinated. Adjusting the probability threshold can shift this trade-off, but it will not remove it.</t>
  </si>
  <si>
    <t>The system preprocesses inputs by imputing missing values and one-hot encoding categorical variables, then applies a gradient-boosted decision-tree model (XGBoost) to estimate a probability of H1N1 vaccination. The probability can be thresholded to produce a Yes/No prediction. Explanation modules can then attribute how individual inputs contributed to the prediction for review.</t>
  </si>
  <si>
    <t>The model uses a mix of behavioural variables (e.g., avoidance behaviours, mask use, hand washing), opinion/risk perception variables (e.g., perceived H1N1 risk, belief that the vaccine is effective, worry about getting sick from the vaccine, and whether a doctor recommended vaccination), and health factors (e.g., chronic medical condition, insurance, health-worker status, having a child under 6 months). It also includes demographic and socio-economic characteristics such as age group, sex, race, education, income poverty category, marital status, housing, employment status, household adults/children, and location indicators (HHS region and census MSA). Seasonal flu-related variables are explicitly excluded.</t>
  </si>
  <si>
    <t>Overall, the system combines signals about access and recommendation (especially whether a doctor recommended vaccination) with attitudes and perceived risk about H1N1 to estimate uptake. It also incorporates background health and demographic context that may correlate with vaccination behaviour. The logic is probabilistic and pattern-based: it learns combinations of factors that were associated with vaccination in the survey data, rather than applying explicit clinical guidelines.</t>
  </si>
  <si>
    <t>Because the model is tree-based, it does not assign a single fixed weight to each feature in the way a simple score would; importance can vary by individual and by feature interactions. Global importance assessed by dropout loss shows that some variables have a much larger influence than others, with clinician recommendation and key beliefs about vaccine effectiveness and risk among the strongest drivers. For individual cases, the system can display local attributions (breakdown and Shapley plots) showing which inputs increased or decreased the predicted probability for that person.</t>
  </si>
  <si>
    <t>The model follows a large set of learned decision-tree split rules (a sequence of 'if-then' style checks) that collectively produce a probability estimate. These rules are not presented as a small, fixed set of clinical criteria, and they may involve interactions between variables. The accompanying explanation tools summarise the impact of variables rather than listing every internal rule.</t>
  </si>
  <si>
    <t>Global variable-importance results indicate the strongest drivers include whether a doctor recommended the H1N1 vaccine, belief that the H1N1 vaccine is effective, and perceived risk from H1N1. Other influential factors include being a health worker and age group, followed by variables such as employment industry, level of H1N1 concern, geographic region, and worry about becoming sick from the vaccine. These factors should be interpreted as influential predictors in the survey data, not as causal determinants.</t>
  </si>
  <si>
    <t>The deployed model is an XGBoost classifier, which is an ensemble of gradient-boosted decision trees. In practical terms, it combines many simple decision rules into a single probability estimate and can capture non-linear relationships and interactions between factors.</t>
  </si>
  <si>
    <t>Model hyperparameters were selected using RandomizedSearchCV with 5-fold cross-validation, optimising the ROC AUC. The selected XGBoost configuration included 200 trees, max depth 5, learning rate 0.1, subsample 0.8, colsample_bytree 1.0, min_child_weight 3, gamma 0, and regularisation terms reg_alpha 0.1 and reg_lambda 100 (scale_pos_weight 1). The final tuned model was then fitted within the same preprocessing pipeline and evaluated on the held-out test set.</t>
  </si>
  <si>
    <t>No update history, version changes, or post-deployment modifications are described. The materials present a single trained model and its evaluation on a fixed train/test split. If the system is updated in practice, additional information would be needed to assess the impact on performance and safety.</t>
  </si>
  <si>
    <t>No. The model is trained offline and the interactive dashboard only changes the inputs used for prediction; it does not retrain or adapt the model based on user interactions. There is no mechanism described for storing user interactions as new training data.</t>
  </si>
  <si>
    <t>Multiple baseline algorithms were tested (logistic regression, random forest, XGBoost, and a multilayer perceptron), and the hyperparameter-tuned XGBoost model was selected because it achieved the highest mean accuracy on the test set. Seasonal influenza-related variables were removed to avoid information leakage when predicting H1N1 uptake. The respondent identifier was excluded because it is only a unique ID and does not carry clinically meaningful information.</t>
  </si>
  <si>
    <t>No real-world usage results, external validations, or user studies are reported. The only reported results are the internal performance metrics on the held-out test split of the survey dataset.</t>
  </si>
  <si>
    <t>The system was developed by Henry El-Jawhari at the Freie Universität (FU) Berlin and the Robert Koch Institute (RKI). No additional organisational owner, clinical sponsor, or regulatory responsible party is specified in the available materials.</t>
  </si>
  <si>
    <t>The system provides an interactive what-if dashboard that lets you set values for key influential factors (doctor recommendation, beliefs about vaccine effectiveness and risk, plus age group, race, and sex) and adjust the prediction threshold. On demand, it produces a predicted probability and a thresholded Yes/No output, alongside patient-level explanation plots (breakdown and Shapley) and sensitivity analyses (ceteris paribus profiles). These affordances are intended to support transparency and exploration of how particular inputs drive the model's output.</t>
  </si>
  <si>
    <t>Toggle buttons set the value of a selected feature for the hypothetical individual being evaluated, and the threshold slider changes the probability cut-off used to convert the prediction into a Yes/No output. The “Run What-If? Dashboard” button executes the prediction with the chosen settings and refreshes the displayed probability, binary interpretation, and explanation/sensitivity plots. The output area is where the system prints the selected characteristics and summarises the prediction.</t>
  </si>
  <si>
    <t>Run 3</t>
  </si>
  <si>
    <t>Claude Opus 4.6 Reasoning</t>
  </si>
  <si>
    <t>The system was trained on survey response data from the National 2009 H1N1 Flu Survey (NHFS). The dataset contains 37 variables covering a broad range of respondent characteristics, including: behavioural factors (e.g. hand washing, face mask use, avoidance of large gatherings), opinions and attitudes (e.g. perceived vaccine effectiveness, perceived risk of illness, worry about vaccine side effects), clinical and demographic factors (e.g. chronic medical conditions, health worker status, health insurance, age group, sex, ethnicity, education, income), doctor recommendations for H1N1 and seasonal flu vaccines, and household and geographic information. The data is structured as tabular survey responses — it does not include clinical records, laboratory results, or imaging data.</t>
  </si>
  <si>
    <t>The training data originates from the National 2009 H1N1 Flu Survey (NHFS), which was sponsored by the National Center for Immunization and Respiratory Diseases (NCIRD) and conducted jointly by NCIRD and the National Center for Health Statistics (NCHS) at the Centers for Disease Control and Prevention (CDC). The NHFS was a list-assisted random-digit-dialling telephone survey of households in the United States, conducted between October 2009 and June 2010. The dataset was accessed via DrivenData's public competition 'Flu Shot Learning: Predict H1N1 and Seasonal Flu Vaccines'.</t>
  </si>
  <si>
    <t>The labels are self-reported vaccination status. Respondents were asked during the telephone survey whether they had received the H1N1 flu vaccine and/or the seasonal flu vaccine, recorded as binary values (0 = No, 1 = Yes). These labels were not verified against medical records or immunisation registries. Self-reported data may be subject to recall bias or social desirability bias, which is an important consideration when interpreting the system's predictions.</t>
  </si>
  <si>
    <t>The training dataset contains 26,707 respondents (rows) with 37 variables (columns) each. This is a moderately sized dataset for a tabular machine learning task. However, there is notable missingness in several features — for example, health insurance status is missing for approximately 46% of respondents, and employment industry and occupation are missing for roughly 50% of records. These gaps were handled during preprocessing but may affect prediction reliability for certain subgroups.</t>
  </si>
  <si>
    <t>The system does not use clinical health records, electronic medical records (EMR/EHR), laboratory test results, immunisation registry data, or any real-time clinical data. It also does not incorporate seasonal flu vaccine-related opinion variables (opinion_seas_vacc_effective, opinion_seas_risk, opinion_seas_sick_from_vacc) or the seasonal vaccine label in its H1N1 prediction model — these were deliberately excluded to focus the model on H1N1-specific factors. Geographic identifiers are anonymised (coded strings), so the system cannot account for specific local public health conditions.</t>
  </si>
  <si>
    <t>Several potential limitations and biases exist. First, the data is entirely self-reported via telephone surveys, introducing recall bias and social desirability bias — respondents may over-report vaccination or health-conscious behaviours. Second, the survey used random-digit-dialling of landline telephones, which may under-represent younger populations, mobile-only households, and lower-income groups. Third, substantial missing data exists across key variables such as health insurance (approximately 46% missing), employment industry (approximately 50% missing), and doctor recommendations (approximately 8% missing), which could introduce systematic bias if missingness is not random. Fourth, the data reflects the United States population during the 2009-2010 H1N1 pandemic and may not generalise to other countries, time periods, or pandemic contexts. Finally, protected characteristics such as race, sex, and income are included in the dataset, raising fairness considerations regarding whether the system's predictions differ systematically across these groups.</t>
  </si>
  <si>
    <t>The system produces a predicted probability (a continuous value between 0 and 1) indicating the likelihood that a given individual received the H1N1 vaccine. This probability can also be converted into a binary classification (vaccinated or not vaccinated) by applying a decision threshold. Both the probability score and the binary prediction are available as outputs.</t>
  </si>
  <si>
    <t>A predicted probability closer to 1.0 indicates that the system considers the individual highly likely to have received the H1N1 vaccine, based on their survey responses. A probability closer to 0.0 suggests the individual is unlikely to have been vaccinated. For example, a prediction of 0.206 for a given respondent means the system estimates roughly a 21% chance that this person received the H1N1 vaccine. It is important to note that this is a population-level statistical estimate, not a clinical diagnosis — it reflects patterns learned from survey data, not confirmed vaccination records.</t>
  </si>
  <si>
    <t>The system can estimate the likelihood of H1N1 vaccine uptake for individuals based on their demographic, behavioural, and attitudinal characteristics as captured in survey data. It can also identify which factors most strongly influence vaccine uptake predictions at both the population and individual level. The system cannot diagnose illness, predict clinical outcomes, determine vaccine efficacy, or provide individualised medical advice. It is designed as a public health surveillance and research tool, not a clinical decision-support system for individual patient care.</t>
  </si>
  <si>
    <t>The system's predicted probabilities are used as inputs for the explainability and what-if analysis components. The explainability module uses the predictions to compute variable importance rankings, partial dependence profiles, and accumulated local effects, which help users understand why the model makes certain predictions. The what-if dashboard allows users to modify individual respondent characteristics and observe how the predicted probability changes, enabling scenario-based exploration. There is no documented integration with external clinical or public health systems.</t>
  </si>
  <si>
    <t>The system's output is best used as a population-level analytical tool to identify groups or communities with lower predicted vaccine uptake, thereby informing targeted public health interventions such as outreach campaigns or educational programmes. The predicted probabilities and associated explanations can help public health professionals understand which factors (e.g. doctor recommendations, perceived vaccine effectiveness) most strongly drive vaccination behaviour. The output should not be used as the sole basis for individual-level clinical decisions. It should be considered alongside professional judgement, local epidemiological data, and direct patient engagement.</t>
  </si>
  <si>
    <t>The system is best positioned as a planning and analysis tool within public health workflows. It can be used during the design phase of vaccination campaigns to identify populations at risk of low uptake, or during post-campaign evaluation to understand which factors were most associated with vaccination behaviour. It should complement — not replace — existing surveillance data, community engagement, and clinical expertise. The what-if analysis component can be particularly useful for scenario planning, allowing professionals to explore how changes in specific factors (e.g. increasing doctor recommendations) might influence predicted uptake.</t>
  </si>
  <si>
    <t>All information produced by the system derives from the National 2009 H1N1 Flu Survey (NHFS) data collected by the CDC. The predictions are generated by a machine learning model trained on this survey data, and the explanations (variable importance, partial dependence profiles, accumulated local effects) are computed from the trained model's behaviour on the same dataset. No external data sources are incorporated at inference time.</t>
  </si>
  <si>
    <t>The output applies to individuals aged 6 months or older living in the United States during the 2009-2010 H1N1 flu season. The system's predictions reflect vaccination behaviour patterns specific to this population and time period. Applying the system's outputs to different countries, different pandemic contexts, or different time periods should be done with considerable caution, as vaccination determinants may vary substantially across these dimensions.</t>
  </si>
  <si>
    <t>For each individual respondent, the system produces a single predicted probability value and, optionally, a binary classification. The explainability components produce additional outputs: a ranked list of variable importance scores across all features, partial dependence and accumulated local effects profiles for each feature, and individual-level break-down explanations showing how each feature contributed to a specific prediction. The what-if dashboard produces updated predictions for modified scenarios on a per-respondent basis.</t>
  </si>
  <si>
    <t>The system uses an XGBoost (Extreme Gradient Boosting) classifier, which is an ensemble machine learning method that builds many decision trees sequentially, with each tree learning to correct the errors of the previous ones. The model was selected after benchmarking against other algorithms including Random Forest and Multi-Layer Perceptron (neural network), and achieved the best ROC AUC score of 0.837 during cross-validation. The model processes the input features through a preprocessing pipeline that imputes missing values and encodes categorical variables before making predictions.</t>
  </si>
  <si>
    <t>The system achieved a best ROC AUC score of 0.837 during 5-fold cross-validation with hyperparameter tuning. An ROC AUC of 0.837 means that, when the system is presented with one vaccinated and one unvaccinated individual, it will correctly rank the vaccinated individual as more likely to have been vaccinated approximately 84% of the time. This represents good but not excellent discriminative ability. Multiple candidate models were benchmarked, and the XGBoost model was selected as the best-performing option. Healthcare professionals should be aware that this performance metric reflects average behaviour across the dataset and may vary for specific subgroups.</t>
  </si>
  <si>
    <t>Based on the ROC AUC of 0.837, the system makes incorrect rankings approximately 16% of the time when comparing a vaccinated and an unvaccinated individual. The system produces both false positives (predicting someone was vaccinated when they were not) and false negatives (missing someone who was actually vaccinated). The exact rates of these errors depend on the decision threshold chosen to convert probabilities into binary predictions. Detailed confusion matrix breakdowns were generated during model evaluation, but the specific false positive and false negative rates depend on the threshold selected for a given use case.</t>
  </si>
  <si>
    <t>The system is likely to be most accurate for individuals whose characteristics clearly align with strong predictive features — for example, individuals who received a doctor's recommendation for the H1N1 vaccine and who hold positive opinions about vaccine effectiveness. Conversely, the system may be less reliable for individuals with substantial missing data (e.g. those without health insurance information or employment details), individuals from underrepresented subgroups in the training data, or individuals whose vaccination decision was driven by factors not captured in the survey (e.g. local vaccine availability, specific medical contraindications). The system may also be less accurate for borderline cases where the predicted probability is close to 0.5.</t>
  </si>
  <si>
    <t>Key limitations include: the model is trained on data from a single historical pandemic period (2009-2010 H1N1) in the United States, limiting its generalisability to other contexts; the ground truth labels are self-reported and unverified; substantial missing data in several features may reduce prediction quality for certain subgroups; the system cannot account for factors not captured in the survey, such as vaccine supply, access to healthcare facilities, or individual medical contraindications; and the model's performance (ROC AUC 0.837) indicates that it will make incorrect predictions in a meaningful proportion of cases. The system should not be used as a substitute for direct clinical assessment or patient engagement.</t>
  </si>
  <si>
    <t>The system can make two types of errors. False positives occur when the system predicts an individual was vaccinated when they were not — in a public health context, this could lead to under-targeting of outreach efforts, as individuals who actually need encouragement to vaccinate may be overlooked. False negatives occur when the system predicts an individual was not vaccinated when they actually were — this could lead to unnecessary resource allocation towards individuals who have already been vaccinated. Given the class imbalance in the data (H1N1 vaccination rates were relatively low), the system may be more prone to predicting non-vaccination, potentially leading to higher false negative rates for vaccinated individuals.</t>
  </si>
  <si>
    <t>The system uses an XGBoost (Extreme Gradient Boosting) classifier, which works by building a sequence of decision trees. Each tree learns to correct the mistakes of the previous trees, and the final prediction is a combination of all trees' outputs. The model takes in a respondent's survey responses (after preprocessing to handle missing values and encode categorical variables), passes them through this ensemble of trees, and produces a probability score indicating the likelihood of H1N1 vaccine uptake. This approach is analogous to a panel of experts each making an independent assessment and then combining their judgements to reach a consensus.</t>
  </si>
  <si>
    <t>The system considers approximately 32 input features (after removing the target variable and non-relevant columns). These include: respondent opinions about H1N1 vaccine effectiveness, risk of H1N1 illness, and worry about vaccine side effects; whether a doctor recommended the H1N1 vaccine; behavioural factors such as hand washing, face mask use, avoidance of large gatherings, and use of antiviral medications; clinical factors such as chronic medical conditions, health worker status, and contact with children under 6 months; and demographic factors including age group, education, sex, ethnicity, income, marital status, employment, and geographic region. Seasonal flu-specific opinion variables were excluded from the H1N1 prediction model.</t>
  </si>
  <si>
    <t>The system's overall logic can be understood through its variable importance rankings. The most influential factors driving predictions are opinion-related variables (particularly perceived H1N1 vaccine effectiveness), doctor recommendations for the H1N1 vaccine, and perceived risk of H1N1 illness. In essence, the system has learned that individuals who believe the vaccine is effective, who received a doctor's recommendation, and who perceive H1N1 as a significant health risk are substantially more likely to have been vaccinated. Behavioural and demographic factors play a secondary but still meaningful role. This logic aligns well with established public health understanding of vaccination behaviour.</t>
  </si>
  <si>
    <t>Variable importance analysis reveals that the system assigns the highest importance to: opinion on H1N1 vaccine effectiveness, doctor recommendation for H1N1 vaccine, and opinion on H1N1 risk. These opinion and recommendation features have substantially higher importance scores than other variables. Features grouped as 'opinion' and 'doctor recommendation' categories collectively have the greatest impact on model performance. Behavioural features (e.g. hand washing, mask use) and protected demographic features (e.g. age, sex, race) have comparatively lower individual importance, though they still contribute to the overall prediction. Geographic and household variables have the least influence.</t>
  </si>
  <si>
    <t>The XGBoost model does not follow simple, human-readable rules in the way a single decision tree or a clinical scoring system might. Instead, it combines the outputs of 200 individual decision trees, each of which captures different patterns in the data. However, the explainability analyses provide interpretable summaries of the model's behaviour: partial dependence profiles show how the predicted probability changes as each feature varies, and accumulated local effects reveal the marginal effect of each feature while accounting for correlations between variables. These analyses effectively translate the model's complex internal logic into clinically interpretable patterns.</t>
  </si>
  <si>
    <t>The top features determining predictions are: (1) opinion on H1N1 vaccine effectiveness — individuals who believe the vaccine is very effective have substantially higher predicted vaccination probabilities; (2) doctor recommendation for H1N1 vaccine — receiving a doctor's recommendation is strongly associated with higher predicted uptake; (3) opinion on H1N1 risk — individuals who perceive higher personal risk from H1N1 are more likely to be predicted as vaccinated; (4) opinion on getting sick from the H1N1 vaccine — greater worry about side effects is associated with lower predicted uptake; and (5) health worker status — healthcare workers have higher predicted vaccination rates. When features are grouped, the 'opinion' category collectively has the largest impact, followed by 'doctor recommendation', with 'behavioural' and 'protected' (demographic) categories having smaller but still measurable effects.</t>
  </si>
  <si>
    <t>The system uses XGBoost (Extreme Gradient Boosting), a gradient-boosted decision tree algorithm. This was selected after benchmarking against Random Forest and Multi-Layer Perceptron (a type of neural network) classifiers. XGBoost achieved the highest ROC AUC score of 0.837 during 5-fold cross-validated hyperparameter tuning. XGBoost is widely used in healthcare and public health research due to its strong predictive performance on tabular data, its ability to handle missing values, and its compatibility with explainability methods such as variable importance and partial dependence analysis.</t>
  </si>
  <si>
    <t>The model's parameters were set using randomised search cross-validation, a systematic approach that evaluates many different parameter combinations to find the best-performing configuration. Specifically, 50 candidate parameter combinations were evaluated across 5-fold cross-validation (totalling 250 model fits), optimising for ROC AUC score. The best parameters found included: subsample rate of 0.8, regularisation parameters (lambda = 100, alpha = 0.1), 200 estimators (trees), minimum child weight of 3, maximum tree depth of 3, learning rate of 0.01, and gamma of 0.2. These settings include regularisation measures designed to prevent overfitting, which helps ensure the model generalises to new data rather than merely memorising the training set.</t>
  </si>
  <si>
    <t>The available documentation does not describe any updates, version changes, or retraining of the system since its initial development. The model appears to have been trained once on the NHFS dataset. There is no documented process for periodic retraining or model monitoring. If the system were to be deployed in a live public health setting, a clear update and monitoring protocol would need to be established to ensure continued relevance and accuracy.</t>
  </si>
  <si>
    <t>No. The system does not learn from user interactions. It is a static, pre-trained model — its parameters and predictions are fixed based on the training data. The what-if analysis component allows users to explore hypothetical scenarios by modifying input values, but these modifications do not alter the underlying model. Every user querying the system with the same input data will receive the same prediction.</t>
  </si>
  <si>
    <t>XGBoost was selected because it achieved the highest ROC AUC score (0.837) compared to Random Forest and Multi-Layer Perceptron alternatives during systematic benchmarking. Seasonal flu opinion variables were excluded from the H1N1 prediction model to ensure the system focuses specifically on H1N1-related determinants, avoiding potential confounding from seasonal flu attitudes. The respondent ID was dropped as it is a non-informative identifier. The NHFS dataset was chosen because it is a well-established, publicly available, CDC-sponsored survey specifically designed to monitor H1N1 vaccination behaviour — making it directly relevant to the system's intended purpose.</t>
  </si>
  <si>
    <t>The available documentation does not include information about external validation studies, independent evaluations, or results from other users or institutions deploying this system. The dataset originates from a public DrivenData competition, so other participants may have developed similar models, but their results are not documented within this system's materials. Independent external validation would be recommended before any operational deployment in a public health setting.</t>
  </si>
  <si>
    <t>The system was developed by Henry El-Jawhari at the Freie Universität (FU) Berlin and the Robert Koch Institute (RKI). The Robert Koch Institute is Germany's federal government agency and research institute responsible for disease control and prevention. No additional information about a broader development team, maintenance responsibilities, or contact details for queries is provided in the available documentation.</t>
  </si>
  <si>
    <t>The system provides several interactive components: (1) a prediction module that generates H1N1 vaccination probability estimates for individual respondents; (2) an explainability module offering variable importance rankings, partial dependence profiles, and accumulated local effects plots that show how each feature influences predictions at the population level; (3) individual-level break-down explanations that decompose a specific prediction into contributions from each feature; and (4) a what-if dashboard that allows users to modify individual respondent characteristics (e.g. changing the value of 'opinion_h1n1_vacc_effective') and immediately observe how the predicted probability changes. These tools collectively enable both population-level analysis and individual-level scenario exploration.</t>
  </si>
  <si>
    <t>The system's interface includes several key visual elements: variable importance bar charts display features ranked by their impact on model performance (measured by dropout loss — higher values indicate greater importance); partial dependence profile plots show how the average predicted probability changes as a single feature varies across its range, helping users understand the direction and magnitude of each feature's effect; accumulated local effects plots provide a similar view but account for correlations between features, offering a more robust interpretation; break-down plots decompose an individual prediction into positive and negative contributions from each feature, showing which factors pushed the prediction higher or lower; and the what-if dashboard presents an interactive scatter plot where users can select individual data points, modify their feature values, and observe real-time changes in predicted probabilities.</t>
  </si>
  <si>
    <t>Accuracy</t>
  </si>
  <si>
    <t>Similarity Score</t>
  </si>
  <si>
    <t>Answer</t>
  </si>
  <si>
    <t>Score</t>
  </si>
  <si>
    <t>How (global model-wide explanation)</t>
  </si>
  <si>
    <t>Metric</t>
  </si>
  <si>
    <t>SMOG Index</t>
  </si>
  <si>
    <t>Coleman Liau Index</t>
  </si>
  <si>
    <t>Dale Chall Readability Score</t>
  </si>
  <si>
    <t>Flesch Kincaid Grade</t>
  </si>
  <si>
    <t>Readability</t>
  </si>
  <si>
    <t>Rank</t>
  </si>
  <si>
    <t>Average Readability Score</t>
  </si>
  <si>
    <t>LLM Interpretation</t>
  </si>
  <si>
    <t>Human Interpretation</t>
  </si>
  <si>
    <t>What type of information does the AI use to learn?</t>
  </si>
  <si>
    <t>What type(s) of data is being used by the system? Text, images, audio, video, and sensor readings?</t>
  </si>
  <si>
    <t>Where did the data come from?</t>
  </si>
  <si>
    <t>Where does the training data come from? What is the origin?</t>
  </si>
  <si>
    <t>How do we know if the prediction target (vaccination status) is actually true in the data?</t>
  </si>
  <si>
    <t>Where have the target variables come from? How were they created?</t>
  </si>
  <si>
    <t>How many patient records were used to teach the AI?</t>
  </si>
  <si>
    <t>How much data is being used to train the system?</t>
  </si>
  <si>
    <t>Was any available information explicitly excluded from the model?</t>
  </si>
  <si>
    <t>What data is the system limited to using?</t>
  </si>
  <si>
    <t>Are there any shortcomings in the data that might affect the model's fairness or accuracy?</t>
  </si>
  <si>
    <t>What considerations need to be made when using this data, which may (negatively) effect system performance?</t>
  </si>
  <si>
    <t>What does the AI actually produce as a result?</t>
  </si>
  <si>
    <t>What type(s) of data is being produced by the system? Text, images, audio, video, and sensor readings?</t>
  </si>
  <si>
    <t>How should I interpret the number or label the AI provides?</t>
  </si>
  <si>
    <t>How can the system output be interpreted?</t>
  </si>
  <si>
    <t>What is the specific task this AI is designed to perform?</t>
  </si>
  <si>
    <t>What is the extent of the systems abilities? What can the system do? What can the system not do?</t>
  </si>
  <si>
    <t>Is the AI's output used by other parts of the software?</t>
  </si>
  <si>
    <t>Does the output from the system feed into other parts of the system?</t>
  </si>
  <si>
    <t>How can this tool help me in a clinical or public health setting?</t>
  </si>
  <si>
    <t>How can the output be used practically and effectively?</t>
  </si>
  <si>
    <t>When and how should I use this tool during patient care?</t>
  </si>
  <si>
    <t>When and where should the output be used in a practical setting?</t>
  </si>
  <si>
    <t>Where does the information for the prediction come from?</t>
  </si>
  <si>
    <t>Asking about the source of the recommended information object(s), i.e. a well-defined identifiable instance of an output. What inputs are being used to create what the system is showing?</t>
  </si>
  <si>
    <t>Does the output apply to groups or individuals?</t>
  </si>
  <si>
    <t>What area/subject matter does the output data relate to?</t>
  </si>
  <si>
    <t>How much data does the system return?</t>
  </si>
  <si>
    <t>How much data is being produced by the system?</t>
  </si>
  <si>
    <t>How does the system decide between 'Yes' and 'No'?</t>
  </si>
  <si>
    <t>Asking about why a specific recommendation was shown before the user interacted with the system. What further rules are applied to the output data to provide a recommendation?</t>
  </si>
  <si>
    <t>How well does the system perform overall?</t>
  </si>
  <si>
    <t>How is the system evaluated? What are key performance metrics?</t>
  </si>
  <si>
    <t>What is the error rate?</t>
  </si>
  <si>
    <t>What is the error rate of the system?</t>
  </si>
  <si>
    <t>Are there specific cases where the AI is stronger or weaker?</t>
  </si>
  <si>
    <t>What conditions cause the system to make mistakes?</t>
  </si>
  <si>
    <t>What are the main weaknesses I should be aware of?</t>
  </si>
  <si>
    <t>What are the weaknesses/vulnerabilities of the system?</t>
  </si>
  <si>
    <t>Does it tend to false alarms or missed detections?</t>
  </si>
  <si>
    <t>What type of errors are possible by the system?</t>
  </si>
  <si>
    <t>What kind of AI model is being used?</t>
  </si>
  <si>
    <t>What process does the system use to generate predictions?</t>
  </si>
  <si>
    <t>What patient information is used to make a decision?</t>
  </si>
  <si>
    <t>What part of the input data is the system using to generate predictions?</t>
  </si>
  <si>
    <t>How does the model combine these features to reach a conclusion?</t>
  </si>
  <si>
    <t>What is the aim/objective of the system?</t>
  </si>
  <si>
    <t>Which factors are most important to the model?</t>
  </si>
  <si>
    <t>Does the system assign greater importance to certain features over others?</t>
  </si>
  <si>
    <t>Are there explicit rules I can see?</t>
  </si>
  <si>
    <t>What is the workflow of the system?</t>
  </si>
  <si>
    <t>What are the biggest drivers of the prediction?</t>
  </si>
  <si>
    <t>What are the most influential features in the modelling?</t>
  </si>
  <si>
    <t>What is the technical name of the AI method?</t>
  </si>
  <si>
    <t>Describe the process or set of instructions the system is using to generate predictions.</t>
  </si>
  <si>
    <t>How was the model configured for best performance?</t>
  </si>
  <si>
    <t>What parameters were changed (if any), and how were they changed?</t>
  </si>
  <si>
    <t>Has the system changed over time?</t>
  </si>
  <si>
    <t>What changes have taken place if/when the system has been updated?</t>
  </si>
  <si>
    <t>Does the AI adapt to me as I use it?</t>
  </si>
  <si>
    <t>Is the system is using this specific user's interaction to change/adapt/improve the system over time?</t>
  </si>
  <si>
    <t>What was the rationale behind the design choices?</t>
  </si>
  <si>
    <t>Justify the decisions made for the system design.</t>
  </si>
  <si>
    <t>Has this been validated by others?</t>
  </si>
  <si>
    <t>Are you able to see how the system is being used by other people? Does this change the system?</t>
  </si>
  <si>
    <t>Who built this AI?</t>
  </si>
  <si>
    <t>Background information on the system.</t>
  </si>
  <si>
    <t>What controls does the dashboard offer me?</t>
  </si>
  <si>
    <t>Asking about possible actions of the system. What are the characteristics or properties of the system that suggest how it can be used?</t>
  </si>
  <si>
    <t>How do the specific widgets work?</t>
  </si>
  <si>
    <t>Asking about the functionality of a specific UI element. What are the interactive elements of the system and how can they be used/what do they produce?</t>
  </si>
  <si>
    <t>This is asking what type of information the model learns from (for example, survey answers versus clinical records), which determines what it can and cannot safely be applied to.</t>
  </si>
  <si>
    <t>This asks where the data come from and who collected it, which matters for credibility, governance, and whether it reflects your patient population.</t>
  </si>
  <si>
    <t>This is asking what the system treats as the 'correct answer' during training and how that reference standard was obtained, because label quality directly affects patient-safety risk.</t>
  </si>
  <si>
    <t>This asks how many individuals the model was trained and tested on, which helps you judge statistical stability and how much uncertainty to expect.</t>
  </si>
  <si>
    <t>This asks which data sources or variables were intentionally excluded, which is important for understanding what information the system ignores and for checking for data leakage.</t>
  </si>
  <si>
    <t>This asks what aspects of the data might limit fairness, generalisability, or clinical usefulness, so you can anticipate where the system might underperform or mislead.</t>
  </si>
  <si>
    <t>This asks what you will actually receive from the system (numbers, categories, or explanations), which determines how you can use it in practice.</t>
  </si>
  <si>
    <t>This is asking how to interpret the output clinically—what the probability and any classification are intended to represent—so you avoid treating it as something it is not.</t>
  </si>
  <si>
    <t>This asks what the system is designed to do and, importantly, what it is not designed to do, so it is not misapplied in clinical care or public health.</t>
  </si>
  <si>
    <t>This asks whether the system's predictions feed into other tools (for example, explanation or what-if modules), which matters for traceability and error propagation.</t>
  </si>
  <si>
    <t>This asks how to use the output in a way that supports safe clinical or public-health decisions rather than replacing professional judgement.</t>
  </si>
  <si>
    <t>This asks where the system should sit in day-to-day work (e.g., triage, counselling, programme planning), so that the output is acted on appropriately and documented.</t>
  </si>
  <si>
    <t>This asks where the numbers and explanations originate, which is essential for auditing, accountability, and understanding limitations.</t>
  </si>
  <si>
    <t>This asks whether outputs are available for single individuals, groups, or datasets, which affects how you can use results (patient-level versus population-level).</t>
  </si>
  <si>
    <t>This asks how much output the system produces per run, which matters for integration (e.g., dashboards, reports, or downstream analytics).</t>
  </si>
  <si>
    <t>This asks what decision rule turns model calculations into the displayed result, which matters because changing that rule changes the safety profile (misses versus false alarms).</t>
  </si>
  <si>
    <t>This asks how well the system performs, in terms clinicians recognise (overall correctness and how well it identifies true cases), so you can judge whether it is fit for purpose.</t>
  </si>
  <si>
    <t>This asks how frequently the model's outputs are wrong, which helps you anticipate operational risk and the need for human oversight.</t>
  </si>
  <si>
    <t>This asks when you can trust the system more or less, which is crucial for setting guardrails and deciding when to override or seek additional information.</t>
  </si>
  <si>
    <t>This asks what the system cannot do well or what constraints apply, so you can avoid unsafe use and decide what extra validation is needed.</t>
  </si>
  <si>
    <t>This asks about the direction of errors (missing true cases versus false alarms), because different error types have different consequences in patient care and public health.</t>
  </si>
  <si>
    <t>This is asking, at a high level, how the system turns patient or respondent characteristics into a prediction, which supports transparency and appropriate clinical trust.</t>
  </si>
  <si>
    <t>This asks which patient/respondent characteristics the model looks at, which matters for data collection burden, interpretability, and assessing whether any important clinical factors are missing.</t>
  </si>
  <si>
    <t>This asks for the model's 'clinical reasoning' in plain terms—what patterns it is using—so clinicians can judge whether they are plausible and ethically acceptable.</t>
  </si>
  <si>
    <t>This asks whether some factors matter more than others, which helps clinicians understand what the model is 'paying attention' to and where to focus review.</t>
  </si>
  <si>
    <t>This asks whether the system uses human-readable rules, which affects explainability and the ability to create safe operating procedures.</t>
  </si>
  <si>
    <t>This asks which factors most strongly drive predictions overall, which is important for clinical plausibility checks and for identifying where bias or confounding might enter.</t>
  </si>
  <si>
    <t>This asks what modelling approach underpins the system, which matters for interpretability, stability, and how it should be validated.</t>
  </si>
  <si>
    <t>This asks how the model was tuned (or not tuned), which affects reproducibility, overfitting risk, and whether performance claims are likely to hold up.</t>
  </si>
  <si>
    <t>This asks whether the system has changed over time and whether those changes altered behaviour or safety, which is essential for governance and audit trails.</t>
  </si>
  <si>
    <t>This asks whether your use of the system feeds back into the model (online learning), which matters for privacy, consent, and consistency of outputs.</t>
  </si>
  <si>
    <t>This asks for the rationale behind design choices, which helps clinicians judge whether the system is appropriately constructed and whether exclusions create blind spots.</t>
  </si>
  <si>
    <t>This asks whether there is evidence from real-world use or external evaluations, which would increase confidence in clinical applicability.</t>
  </si>
  <si>
    <t>This asks who developed the system and who is accountable for it, which is important for governance, clinical safety review, and escalation pathways.</t>
  </si>
  <si>
    <t>This asks what the user interface allows you to do (beyond simply getting a prediction), which matters for safe use, review, and communication with colleagues.</t>
  </si>
  <si>
    <t>This asks what a specific control in the interface changes, which matters because interface choices (e.g., thresholds) can materially alter error rates and downstream decisions.</t>
  </si>
  <si>
    <t>What type of information was collected and used to teach the AI system how to make its predictions? This matters because the nature of the training data directly determines what the system can and cannot reliably predict.</t>
  </si>
  <si>
    <t>Where did the data come from, and who collected it? This is important for assessing the credibility, representativeness, and potential biases of the dataset.</t>
  </si>
  <si>
    <t>How was the 'correct answer' — whether someone received the H1N1 vaccine — determined? This matters because the reliability of the ground truth directly affects how trustworthy the system's predictions are.</t>
  </si>
  <si>
    <t>How many individual records were used to train the system? A larger sample generally supports more reliable predictions, though representativeness matters as much as size.</t>
  </si>
  <si>
    <t>What types of data are absent from the system's inputs? Understanding what the system does not see helps clinicians recognise blind spots and situations where the system's predictions may be less reliable.</t>
  </si>
  <si>
    <t>What systematic issues in the data could lead the system to produce unfair, inaccurate, or misleading predictions? Recognising these biases is essential for safe clinical interpretation.</t>
  </si>
  <si>
    <t>What form does the system's prediction take? Understanding the output format is essential for knowing how to interpret and act upon the system's results.</t>
  </si>
  <si>
    <t>How should the numerical output be interpreted in practical terms? This is critical for ensuring that healthcare professionals do not over- or under-interpret the system's predictions.</t>
  </si>
  <si>
    <t>What can and cannot this system do? Clarifying the boundaries of the system's capability prevents misuse and sets appropriate expectations.</t>
  </si>
  <si>
    <t>Does the system's output feed into other systems or processes? Understanding downstream dependencies is important for assessing the broader impact of the system's predictions.</t>
  </si>
  <si>
    <t>What is the recommended way for a healthcare professional to use the system's predictions in practice? This guidance helps ensure safe and effective use.</t>
  </si>
  <si>
    <t>At what point in a clinical or public health workflow should this system's output be consulted, and how should it complement existing processes?</t>
  </si>
  <si>
    <t>Where does the information displayed by the system originate? This helps users assess the trustworthiness and provenance of the outputs.</t>
  </si>
  <si>
    <t>What population or context does the output apply to? Understanding the scope prevents inappropriate generalisation of the system's predictions.</t>
  </si>
  <si>
    <t>How much output does the system produce per query or per run? This helps users understand the volume of information they will need to process.</t>
  </si>
  <si>
    <t>What underlying reasoning or algorithm does the system use to generate its predictions? Understanding the logic helps users assess whether the system's approach is appropriate for the task.</t>
  </si>
  <si>
    <t>How well does the system distinguish between individuals who did and did not receive the H1N1 vaccine? This is fundamental for determining whether the system's predictions can be trusted for public health decision-making.</t>
  </si>
  <si>
    <t>What is the system's error rate, and how frequently should users expect incorrect predictions? This is essential for calibrating trust in the system.</t>
  </si>
  <si>
    <t>Under what conditions can the system's predictions be most and least trusted? This helps users identify when to rely on the system and when to exercise additional caution.</t>
  </si>
  <si>
    <t>What are the known weaknesses and constraints of the system that users should be aware of? Understanding limitations is critical for safe deployment.</t>
  </si>
  <si>
    <t>What types of errors should users anticipate, and what are the potential consequences of these errors in a public health context?</t>
  </si>
  <si>
    <t>What is the general mechanism by which the system arrives at its predictions? Understanding this helps users assess whether the system's approach is clinically sensible.</t>
  </si>
  <si>
    <t>What specific pieces of information does the system use to make its predictions? This is important for understanding what drives the system's outputs and whether any relevant clinical factors are missing.</t>
  </si>
  <si>
    <t>At a high level, what reasoning pattern does the system follow? This helps users form a mental model of how the system works.</t>
  </si>
  <si>
    <t>Which features have the greatest and least influence on the system's predictions? Understanding feature weighting helps users assess whether the system's priorities align with clinical knowledge.</t>
  </si>
  <si>
    <t>Does the system follow explicit, interpretable rules, or does it operate in a more complex manner? This helps users understand the transparency of the system's decision-making.</t>
  </si>
  <si>
    <t>Which specific factors have the strongest influence on whether the system predicts vaccination or non-vaccination? This is directly relevant to understanding what drives the system's recommendations.</t>
  </si>
  <si>
    <t>What specific machine learning method powers the system? This is relevant for understanding the system's strengths, limitations, and interpretability.</t>
  </si>
  <si>
    <t>How were the system's internal settings configured, and was this done systematically? This matters because parameter choices can significantly affect model performance and reliability.</t>
  </si>
  <si>
    <t>Has the system been updated or retrained since its initial development, and if so, how have those changes affected its performance or behaviour?</t>
  </si>
  <si>
    <t>Does the system adapt or change its predictions based on how I use it? This is important for understanding whether the system's behaviour is consistent across users.</t>
  </si>
  <si>
    <t>What rationale guided the choice of algorithm, features, and data? Understanding these design decisions helps users assess whether the system is fit for purpose.</t>
  </si>
  <si>
    <t>Has the system been externally validated or used by other teams, and what were their findings? External validation is important for establishing confidence in the system.</t>
  </si>
  <si>
    <t>Who developed and maintains the system, and who should be contacted with questions or concerns? Accountability and transparency of authorship are essential for trust.</t>
  </si>
  <si>
    <t>What interactive capabilities does the system offer to users? Understanding available features helps users make full use of the system.</t>
  </si>
  <si>
    <t>How should specific visual or interactive elements of the system's interface be interpreted? Clear understanding of UI elements prevents misinterpretation.</t>
  </si>
  <si>
    <t>Readability Score</t>
  </si>
  <si>
    <t>Avereage Score</t>
  </si>
  <si>
    <t>Average Score</t>
  </si>
  <si>
    <t>Human</t>
  </si>
  <si>
    <t>Completeness</t>
  </si>
  <si>
    <t>Index</t>
  </si>
  <si>
    <t>*</t>
  </si>
  <si>
    <t>Extended</t>
  </si>
  <si>
    <t>ACF</t>
  </si>
  <si>
    <t>Average ACF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</si>
</sst>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0_-;\-* #,##0.000_-;_-* &quot;-&quot;??_-;_-@_-"/>
    <numFmt numFmtId="165" formatCode="0.000"/>
    <numFmt numFmtId="166" formatCode="_-* #,##0.000\ _€_-;\-* #,##0.000\ _€_-;_-* &quot;-&quot;???\ _€_-;_-@_-"/>
    <numFmt numFmtId="173" formatCode="_-* #,##0.00\ _€_-;\-* #,##0.00\ _€_-;_-* &quot;-&quot;??\ _€_-;_-@_-"/>
  </numFmts>
  <fonts count="3" x14ac:knownFonts="1">
    <font>
      <sz val="12"/>
      <color theme="1"/>
      <name val="Aptos Narrow"/>
      <family val="2"/>
      <scheme val="minor"/>
    </font>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18">
    <xf numFmtId="0" fontId="0" fillId="0" borderId="0" xfId="0"/>
    <xf numFmtId="0" fontId="0" fillId="0" borderId="0" xfId="0" applyAlignment="1">
      <alignment wrapText="1"/>
    </xf>
    <xf numFmtId="43" fontId="0" fillId="0" borderId="0" xfId="1" applyFont="1"/>
    <xf numFmtId="164" fontId="0" fillId="0" borderId="0" xfId="1" applyNumberFormat="1" applyFont="1"/>
    <xf numFmtId="165" fontId="0" fillId="0" borderId="0" xfId="0" applyNumberFormat="1"/>
    <xf numFmtId="2" fontId="0" fillId="0" borderId="0" xfId="0" applyNumberFormat="1"/>
    <xf numFmtId="0" fontId="2" fillId="0" borderId="0" xfId="0" applyFont="1"/>
    <xf numFmtId="43" fontId="2" fillId="0" borderId="0" xfId="1" applyFont="1"/>
    <xf numFmtId="164" fontId="2" fillId="0" borderId="0" xfId="1" applyNumberFormat="1" applyFont="1"/>
    <xf numFmtId="43" fontId="0" fillId="0" borderId="0" xfId="1" applyFont="1" applyAlignment="1"/>
    <xf numFmtId="0" fontId="2" fillId="0" borderId="0" xfId="0" applyFont="1" applyAlignment="1">
      <alignment vertical="center"/>
    </xf>
    <xf numFmtId="164" fontId="2" fillId="0" borderId="0" xfId="1" applyNumberFormat="1" applyFont="1" applyAlignment="1">
      <alignment horizontal="center" vertical="center"/>
    </xf>
    <xf numFmtId="0" fontId="2" fillId="0" borderId="0" xfId="0" applyFont="1" applyAlignment="1">
      <alignment horizontal="center" vertical="center"/>
    </xf>
    <xf numFmtId="43" fontId="2" fillId="0" borderId="0" xfId="1" applyFont="1" applyAlignment="1">
      <alignment horizontal="center" vertical="center"/>
    </xf>
    <xf numFmtId="166" fontId="0" fillId="0" borderId="0" xfId="0" applyNumberFormat="1"/>
    <xf numFmtId="0" fontId="2" fillId="0" borderId="0" xfId="0" applyFont="1" applyAlignment="1">
      <alignment horizontal="center"/>
    </xf>
    <xf numFmtId="173" fontId="0" fillId="0" borderId="0" xfId="0" applyNumberFormat="1"/>
    <xf numFmtId="0" fontId="2" fillId="0" borderId="0" xfId="0" applyFont="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7CE7-C8AB-4D47-BFB2-91551A6EC891}">
  <sheetPr filterMode="1"/>
  <dimension ref="A1:AA109"/>
  <sheetViews>
    <sheetView tabSelected="1" workbookViewId="0">
      <pane xSplit="3" ySplit="1" topLeftCell="G53" activePane="bottomRight" state="frozen"/>
      <selection activeCell="B1" sqref="B1"/>
      <selection pane="topRight" activeCell="D1" sqref="D1"/>
      <selection pane="bottomLeft" activeCell="B2" sqref="B2"/>
      <selection pane="bottomRight" activeCell="I117" sqref="I117"/>
    </sheetView>
  </sheetViews>
  <sheetFormatPr baseColWidth="10" defaultColWidth="25.1640625" defaultRowHeight="16" x14ac:dyDescent="0.2"/>
  <cols>
    <col min="1" max="1" width="6.83203125" bestFit="1" customWidth="1"/>
    <col min="2" max="2" width="26.1640625" bestFit="1" customWidth="1"/>
    <col min="3" max="3" width="11.5" bestFit="1" customWidth="1"/>
    <col min="4" max="4" width="62.83203125" bestFit="1" customWidth="1"/>
    <col min="5" max="5" width="84.1640625" style="1" customWidth="1"/>
    <col min="6" max="6" width="91" style="1" customWidth="1"/>
    <col min="7" max="7" width="18" bestFit="1" customWidth="1"/>
    <col min="8" max="8" width="15.33203125" bestFit="1" customWidth="1"/>
    <col min="9" max="9" width="15.6640625" bestFit="1" customWidth="1"/>
    <col min="10" max="10" width="13.33203125" bestFit="1" customWidth="1"/>
    <col min="11" max="11" width="10.1640625" bestFit="1" customWidth="1"/>
    <col min="12" max="12" width="15.83203125" bestFit="1" customWidth="1"/>
    <col min="13" max="13" width="8.83203125" bestFit="1" customWidth="1"/>
    <col min="14" max="14" width="11.1640625" bestFit="1" customWidth="1"/>
    <col min="15" max="15" width="17.6640625" style="3" bestFit="1" customWidth="1"/>
    <col min="16" max="16" width="25.1640625" style="2"/>
    <col min="18" max="18" width="32.83203125" customWidth="1"/>
    <col min="20" max="20" width="5.83203125" customWidth="1"/>
    <col min="22" max="22" width="5.83203125" customWidth="1"/>
    <col min="24" max="24" width="5.83203125" customWidth="1"/>
    <col min="26" max="26" width="2.1640625" bestFit="1" customWidth="1"/>
    <col min="28" max="28" width="2.1640625" bestFit="1" customWidth="1"/>
  </cols>
  <sheetData>
    <row r="1" spans="1:27" ht="17" x14ac:dyDescent="0.2">
      <c r="A1" s="6" t="s">
        <v>0</v>
      </c>
      <c r="B1" s="6" t="s">
        <v>1</v>
      </c>
      <c r="C1" s="6" t="s">
        <v>2</v>
      </c>
      <c r="D1" s="6" t="s">
        <v>3</v>
      </c>
      <c r="E1" s="17" t="s">
        <v>10</v>
      </c>
      <c r="F1" s="17" t="s">
        <v>11</v>
      </c>
      <c r="G1" s="6" t="s">
        <v>4</v>
      </c>
      <c r="H1" s="6" t="s">
        <v>5</v>
      </c>
      <c r="I1" s="6" t="s">
        <v>6</v>
      </c>
      <c r="J1" s="6" t="s">
        <v>7</v>
      </c>
      <c r="K1" s="6" t="s">
        <v>8</v>
      </c>
      <c r="L1" s="6" t="s">
        <v>367</v>
      </c>
      <c r="M1" s="6" t="s">
        <v>9</v>
      </c>
      <c r="N1" s="6" t="s">
        <v>204</v>
      </c>
      <c r="O1" s="8" t="s">
        <v>205</v>
      </c>
      <c r="P1" s="7" t="s">
        <v>363</v>
      </c>
    </row>
    <row r="2" spans="1:27" hidden="1" x14ac:dyDescent="0.2">
      <c r="A2" t="s">
        <v>128</v>
      </c>
      <c r="B2" t="s">
        <v>129</v>
      </c>
      <c r="C2" t="s">
        <v>80</v>
      </c>
      <c r="D2" t="s">
        <v>99</v>
      </c>
      <c r="E2" t="s">
        <v>100</v>
      </c>
      <c r="F2" t="s">
        <v>157</v>
      </c>
      <c r="G2">
        <v>1</v>
      </c>
      <c r="H2">
        <v>0.91400000000000003</v>
      </c>
      <c r="I2">
        <v>0.89100000000000001</v>
      </c>
      <c r="J2">
        <v>0.89600000000000002</v>
      </c>
      <c r="K2">
        <v>0.89300000000000002</v>
      </c>
      <c r="L2" s="3">
        <f>(G2+H2)/2</f>
        <v>0.95700000000000007</v>
      </c>
      <c r="M2">
        <v>0.74</v>
      </c>
      <c r="N2">
        <v>1</v>
      </c>
      <c r="O2" s="3">
        <f t="shared" ref="O2:O33" si="0">(N2+M2+(G2+H2)/2)/3</f>
        <v>0.89900000000000002</v>
      </c>
      <c r="P2" s="2" cm="1">
        <f t="array" ref="P2">INDEX('Readability Avg Scores'!E:E,MATCH(1,('ACF Scores'!B2 = 'Readability Avg Scores'!A:A)*('ACF Scores'!D2='Readability Avg Scores'!C:C),0))</f>
        <v>15.764250000000001</v>
      </c>
      <c r="Q2" s="14"/>
      <c r="R2" s="6"/>
    </row>
    <row r="3" spans="1:27" hidden="1" x14ac:dyDescent="0.2">
      <c r="A3" t="s">
        <v>128</v>
      </c>
      <c r="B3" t="s">
        <v>129</v>
      </c>
      <c r="C3" t="s">
        <v>14</v>
      </c>
      <c r="D3" t="s">
        <v>18</v>
      </c>
      <c r="E3" t="s">
        <v>19</v>
      </c>
      <c r="F3" t="s">
        <v>131</v>
      </c>
      <c r="G3">
        <v>0.73</v>
      </c>
      <c r="H3">
        <v>0.9</v>
      </c>
      <c r="I3">
        <v>0.874</v>
      </c>
      <c r="J3">
        <v>0.90300000000000002</v>
      </c>
      <c r="K3">
        <v>0.88800000000000001</v>
      </c>
      <c r="L3" s="3">
        <f t="shared" ref="L3:L66" si="1">(G3+H3)/2</f>
        <v>0.81499999999999995</v>
      </c>
      <c r="M3">
        <v>0.879</v>
      </c>
      <c r="N3">
        <v>1</v>
      </c>
      <c r="O3" s="3">
        <f t="shared" si="0"/>
        <v>0.89800000000000002</v>
      </c>
      <c r="P3" s="2" cm="1">
        <f t="array" ref="P3">INDEX('Readability Avg Scores'!E:E,MATCH(1,('ACF Scores'!B3 = 'Readability Avg Scores'!A:A)*('ACF Scores'!D3='Readability Avg Scores'!C:C),0))</f>
        <v>15.17675</v>
      </c>
      <c r="Q3" s="14"/>
      <c r="R3" s="3"/>
    </row>
    <row r="4" spans="1:27" hidden="1" x14ac:dyDescent="0.2">
      <c r="A4" t="s">
        <v>128</v>
      </c>
      <c r="B4" t="s">
        <v>129</v>
      </c>
      <c r="C4" t="s">
        <v>80</v>
      </c>
      <c r="D4" t="s">
        <v>96</v>
      </c>
      <c r="E4" t="s">
        <v>97</v>
      </c>
      <c r="F4" t="s">
        <v>156</v>
      </c>
      <c r="G4">
        <v>0.88900000000000001</v>
      </c>
      <c r="H4">
        <v>0.89300000000000002</v>
      </c>
      <c r="I4">
        <v>0.87</v>
      </c>
      <c r="J4">
        <v>0.87</v>
      </c>
      <c r="K4">
        <v>0.87</v>
      </c>
      <c r="L4" s="3">
        <f t="shared" si="1"/>
        <v>0.89100000000000001</v>
      </c>
      <c r="M4">
        <v>0.76</v>
      </c>
      <c r="N4">
        <v>1</v>
      </c>
      <c r="O4" s="3">
        <f t="shared" si="0"/>
        <v>0.8836666666666666</v>
      </c>
      <c r="P4" s="2" cm="1">
        <f t="array" ref="P4">INDEX('Readability Avg Scores'!E:E,MATCH(1,('ACF Scores'!B4 = 'Readability Avg Scores'!A:A)*('ACF Scores'!D4='Readability Avg Scores'!C:C),0))</f>
        <v>15.122</v>
      </c>
      <c r="Q4" s="14"/>
      <c r="R4" s="3"/>
    </row>
    <row r="5" spans="1:27" hidden="1" x14ac:dyDescent="0.2">
      <c r="A5" t="s">
        <v>128</v>
      </c>
      <c r="B5" t="s">
        <v>129</v>
      </c>
      <c r="C5" t="s">
        <v>33</v>
      </c>
      <c r="D5" t="s">
        <v>52</v>
      </c>
      <c r="E5" t="s">
        <v>53</v>
      </c>
      <c r="F5" t="s">
        <v>142</v>
      </c>
      <c r="G5">
        <v>1</v>
      </c>
      <c r="H5">
        <v>0.89600000000000002</v>
      </c>
      <c r="I5">
        <v>0.873</v>
      </c>
      <c r="J5">
        <v>0.83099999999999996</v>
      </c>
      <c r="K5">
        <v>0.85099999999999998</v>
      </c>
      <c r="L5" s="3">
        <f t="shared" si="1"/>
        <v>0.94799999999999995</v>
      </c>
      <c r="M5">
        <v>0.69499999999999995</v>
      </c>
      <c r="N5">
        <v>1</v>
      </c>
      <c r="O5" s="3">
        <f t="shared" si="0"/>
        <v>0.88099999999999989</v>
      </c>
      <c r="P5" s="2" cm="1">
        <f t="array" ref="P5">INDEX('Readability Avg Scores'!E:E,MATCH(1,('ACF Scores'!B5 = 'Readability Avg Scores'!A:A)*('ACF Scores'!D5='Readability Avg Scores'!C:C),0))</f>
        <v>18.072749999999999</v>
      </c>
      <c r="Q5" s="14"/>
      <c r="R5" s="3"/>
    </row>
    <row r="6" spans="1:27" hidden="1" x14ac:dyDescent="0.2">
      <c r="A6" t="s">
        <v>128</v>
      </c>
      <c r="B6" t="s">
        <v>129</v>
      </c>
      <c r="C6" t="s">
        <v>105</v>
      </c>
      <c r="D6" t="s">
        <v>118</v>
      </c>
      <c r="E6" t="s">
        <v>119</v>
      </c>
      <c r="F6" t="s">
        <v>163</v>
      </c>
      <c r="G6">
        <v>1</v>
      </c>
      <c r="H6">
        <v>0.92</v>
      </c>
      <c r="I6">
        <v>0.88</v>
      </c>
      <c r="J6">
        <v>0.94599999999999995</v>
      </c>
      <c r="K6">
        <v>0.91200000000000003</v>
      </c>
      <c r="L6" s="3">
        <f t="shared" si="1"/>
        <v>0.96</v>
      </c>
      <c r="M6">
        <v>0.57699999999999996</v>
      </c>
      <c r="N6">
        <v>1</v>
      </c>
      <c r="O6" s="3">
        <f t="shared" si="0"/>
        <v>0.84566666666666668</v>
      </c>
      <c r="P6" s="2" cm="1">
        <f t="array" ref="P6">INDEX('Readability Avg Scores'!E:E,MATCH(1,('ACF Scores'!B6 = 'Readability Avg Scores'!A:A)*('ACF Scores'!D6='Readability Avg Scores'!C:C),0))</f>
        <v>15.667999999999999</v>
      </c>
      <c r="Q6" s="14"/>
    </row>
    <row r="7" spans="1:27" hidden="1" x14ac:dyDescent="0.2">
      <c r="A7" t="s">
        <v>128</v>
      </c>
      <c r="B7" t="s">
        <v>129</v>
      </c>
      <c r="C7" t="s">
        <v>80</v>
      </c>
      <c r="D7" t="s">
        <v>81</v>
      </c>
      <c r="E7" t="s">
        <v>82</v>
      </c>
      <c r="F7" t="s">
        <v>151</v>
      </c>
      <c r="G7">
        <v>1</v>
      </c>
      <c r="H7">
        <v>0.91400000000000003</v>
      </c>
      <c r="I7">
        <v>0.84599999999999997</v>
      </c>
      <c r="J7">
        <v>0.88200000000000001</v>
      </c>
      <c r="K7">
        <v>0.86399999999999999</v>
      </c>
      <c r="L7" s="3">
        <f t="shared" si="1"/>
        <v>0.95700000000000007</v>
      </c>
      <c r="M7">
        <v>0.53500000000000003</v>
      </c>
      <c r="N7">
        <v>1</v>
      </c>
      <c r="O7" s="3">
        <f t="shared" si="0"/>
        <v>0.83066666666666666</v>
      </c>
      <c r="P7" s="2" cm="1">
        <f t="array" ref="P7">INDEX('Readability Avg Scores'!E:E,MATCH(1,('ACF Scores'!B7 = 'Readability Avg Scores'!A:A)*('ACF Scores'!D7='Readability Avg Scores'!C:C),0))</f>
        <v>16.92475</v>
      </c>
      <c r="Q7" s="14"/>
    </row>
    <row r="8" spans="1:27" hidden="1" x14ac:dyDescent="0.2">
      <c r="A8" t="s">
        <v>128</v>
      </c>
      <c r="B8" t="s">
        <v>129</v>
      </c>
      <c r="C8" t="s">
        <v>64</v>
      </c>
      <c r="D8" t="s">
        <v>68</v>
      </c>
      <c r="E8" t="s">
        <v>69</v>
      </c>
      <c r="F8" t="s">
        <v>147</v>
      </c>
      <c r="G8">
        <v>1</v>
      </c>
      <c r="H8">
        <v>0.84</v>
      </c>
      <c r="I8">
        <v>0.84699999999999998</v>
      </c>
      <c r="J8">
        <v>0.879</v>
      </c>
      <c r="K8">
        <v>0.86299999999999999</v>
      </c>
      <c r="L8" s="3">
        <f t="shared" si="1"/>
        <v>0.91999999999999993</v>
      </c>
      <c r="M8">
        <v>0.55800000000000005</v>
      </c>
      <c r="N8">
        <v>1</v>
      </c>
      <c r="O8" s="3">
        <f t="shared" si="0"/>
        <v>0.82599999999999996</v>
      </c>
      <c r="P8" s="2" cm="1">
        <f t="array" ref="P8">INDEX('Readability Avg Scores'!E:E,MATCH(1,('ACF Scores'!B8 = 'Readability Avg Scores'!A:A)*('ACF Scores'!D8='Readability Avg Scores'!C:C),0))</f>
        <v>13.059249999999899</v>
      </c>
      <c r="Q8" s="14"/>
    </row>
    <row r="9" spans="1:27" hidden="1" x14ac:dyDescent="0.2">
      <c r="A9" t="s">
        <v>128</v>
      </c>
      <c r="B9" t="s">
        <v>129</v>
      </c>
      <c r="C9" t="s">
        <v>64</v>
      </c>
      <c r="D9" t="s">
        <v>65</v>
      </c>
      <c r="E9" t="s">
        <v>66</v>
      </c>
      <c r="F9" t="s">
        <v>146</v>
      </c>
      <c r="G9">
        <v>1</v>
      </c>
      <c r="H9">
        <v>0.88800000000000001</v>
      </c>
      <c r="I9">
        <v>0.89400000000000002</v>
      </c>
      <c r="J9">
        <v>0.89300000000000002</v>
      </c>
      <c r="K9">
        <v>0.89300000000000002</v>
      </c>
      <c r="L9" s="3">
        <f t="shared" si="1"/>
        <v>0.94399999999999995</v>
      </c>
      <c r="M9">
        <v>0.51500000000000001</v>
      </c>
      <c r="N9">
        <v>1</v>
      </c>
      <c r="O9" s="3">
        <f t="shared" si="0"/>
        <v>0.81966666666666665</v>
      </c>
      <c r="P9" s="2" cm="1">
        <f t="array" ref="P9">INDEX('Readability Avg Scores'!E:E,MATCH(1,('ACF Scores'!B9 = 'Readability Avg Scores'!A:A)*('ACF Scores'!D9='Readability Avg Scores'!C:C),0))</f>
        <v>10.67475</v>
      </c>
      <c r="Q9" s="14"/>
    </row>
    <row r="10" spans="1:27" hidden="1" x14ac:dyDescent="0.2">
      <c r="A10" t="s">
        <v>128</v>
      </c>
      <c r="B10" t="s">
        <v>129</v>
      </c>
      <c r="C10" t="s">
        <v>80</v>
      </c>
      <c r="D10" t="s">
        <v>84</v>
      </c>
      <c r="E10" t="s">
        <v>85</v>
      </c>
      <c r="F10" t="s">
        <v>152</v>
      </c>
      <c r="G10">
        <v>0.6</v>
      </c>
      <c r="H10">
        <v>0.81200000000000006</v>
      </c>
      <c r="I10">
        <v>0.86199999999999999</v>
      </c>
      <c r="J10">
        <v>0.89500000000000002</v>
      </c>
      <c r="K10">
        <v>0.878</v>
      </c>
      <c r="L10" s="3">
        <f t="shared" si="1"/>
        <v>0.70599999999999996</v>
      </c>
      <c r="M10">
        <v>0.74</v>
      </c>
      <c r="N10">
        <v>1</v>
      </c>
      <c r="O10" s="3">
        <f t="shared" si="0"/>
        <v>0.81533333333333324</v>
      </c>
      <c r="P10" s="2" cm="1">
        <f t="array" ref="P10">INDEX('Readability Avg Scores'!E:E,MATCH(1,('ACF Scores'!B10 = 'Readability Avg Scores'!A:A)*('ACF Scores'!D10='Readability Avg Scores'!C:C),0))</f>
        <v>15.5045</v>
      </c>
      <c r="Q10" s="14"/>
      <c r="S10" s="2"/>
      <c r="U10" s="2"/>
      <c r="W10" s="2"/>
      <c r="Y10" s="2"/>
      <c r="AA10" s="2"/>
    </row>
    <row r="11" spans="1:27" hidden="1" x14ac:dyDescent="0.2">
      <c r="A11" t="s">
        <v>128</v>
      </c>
      <c r="B11" t="s">
        <v>129</v>
      </c>
      <c r="C11" t="s">
        <v>121</v>
      </c>
      <c r="D11" t="s">
        <v>125</v>
      </c>
      <c r="E11" t="s">
        <v>126</v>
      </c>
      <c r="F11" t="s">
        <v>165</v>
      </c>
      <c r="G11">
        <v>0.54200000000000004</v>
      </c>
      <c r="H11">
        <v>0.85499999999999998</v>
      </c>
      <c r="I11">
        <v>0.86099999999999999</v>
      </c>
      <c r="J11">
        <v>0.88</v>
      </c>
      <c r="K11">
        <v>0.871</v>
      </c>
      <c r="L11" s="3">
        <f t="shared" si="1"/>
        <v>0.69850000000000001</v>
      </c>
      <c r="M11">
        <v>0.72</v>
      </c>
      <c r="N11">
        <v>1</v>
      </c>
      <c r="O11" s="3">
        <f t="shared" si="0"/>
        <v>0.80616666666666659</v>
      </c>
      <c r="P11" s="2" cm="1">
        <f t="array" ref="P11">INDEX('Readability Avg Scores'!E:E,MATCH(1,('ACF Scores'!B11 = 'Readability Avg Scores'!A:A)*('ACF Scores'!D11='Readability Avg Scores'!C:C),0))</f>
        <v>15.2775</v>
      </c>
      <c r="Q11" s="14"/>
      <c r="S11" s="2"/>
      <c r="U11" s="2"/>
      <c r="W11" s="2"/>
      <c r="Y11" s="2"/>
      <c r="AA11" s="2"/>
    </row>
    <row r="12" spans="1:27" hidden="1" x14ac:dyDescent="0.2">
      <c r="A12" t="s">
        <v>128</v>
      </c>
      <c r="B12" t="s">
        <v>129</v>
      </c>
      <c r="C12" t="s">
        <v>105</v>
      </c>
      <c r="D12" t="s">
        <v>112</v>
      </c>
      <c r="E12" t="s">
        <v>113</v>
      </c>
      <c r="F12" t="s">
        <v>161</v>
      </c>
      <c r="G12">
        <v>0.35699999999999998</v>
      </c>
      <c r="H12">
        <v>0.85899999999999999</v>
      </c>
      <c r="I12">
        <v>0.88100000000000001</v>
      </c>
      <c r="J12">
        <v>0.86799999999999999</v>
      </c>
      <c r="K12">
        <v>0.874</v>
      </c>
      <c r="L12" s="3">
        <f t="shared" si="1"/>
        <v>0.60799999999999998</v>
      </c>
      <c r="M12">
        <v>0.80400000000000005</v>
      </c>
      <c r="N12">
        <v>1</v>
      </c>
      <c r="O12" s="3">
        <f t="shared" si="0"/>
        <v>0.80399999999999994</v>
      </c>
      <c r="P12" s="2" cm="1">
        <f t="array" ref="P12">INDEX('Readability Avg Scores'!E:E,MATCH(1,('ACF Scores'!B12 = 'Readability Avg Scores'!A:A)*('ACF Scores'!D12='Readability Avg Scores'!C:C),0))</f>
        <v>16.906500000000001</v>
      </c>
      <c r="Q12" s="14"/>
      <c r="S12" s="2"/>
      <c r="U12" s="2"/>
      <c r="W12" s="2"/>
      <c r="Y12" s="2"/>
      <c r="AA12" s="2"/>
    </row>
    <row r="13" spans="1:27" hidden="1" x14ac:dyDescent="0.2">
      <c r="A13" t="s">
        <v>128</v>
      </c>
      <c r="B13" t="s">
        <v>129</v>
      </c>
      <c r="C13" t="s">
        <v>105</v>
      </c>
      <c r="D13" t="s">
        <v>115</v>
      </c>
      <c r="E13" t="s">
        <v>116</v>
      </c>
      <c r="F13" t="s">
        <v>162</v>
      </c>
      <c r="G13">
        <v>1</v>
      </c>
      <c r="H13">
        <v>0.86899999999999999</v>
      </c>
      <c r="I13">
        <v>0.85499999999999998</v>
      </c>
      <c r="J13">
        <v>0.86499999999999999</v>
      </c>
      <c r="K13">
        <v>0.86</v>
      </c>
      <c r="L13" s="3">
        <f t="shared" si="1"/>
        <v>0.9345</v>
      </c>
      <c r="M13">
        <v>0.47199999999999998</v>
      </c>
      <c r="N13">
        <v>1</v>
      </c>
      <c r="O13" s="3">
        <f t="shared" si="0"/>
        <v>0.80216666666666658</v>
      </c>
      <c r="P13" s="2" cm="1">
        <f t="array" ref="P13">INDEX('Readability Avg Scores'!E:E,MATCH(1,('ACF Scores'!B13 = 'Readability Avg Scores'!A:A)*('ACF Scores'!D13='Readability Avg Scores'!C:C),0))</f>
        <v>13.25475</v>
      </c>
      <c r="Q13" s="14"/>
      <c r="S13" s="2"/>
      <c r="U13" s="2"/>
      <c r="W13" s="2"/>
      <c r="Y13" s="2"/>
      <c r="AA13" s="2"/>
    </row>
    <row r="14" spans="1:27" hidden="1" x14ac:dyDescent="0.2">
      <c r="A14" t="s">
        <v>128</v>
      </c>
      <c r="B14" t="s">
        <v>129</v>
      </c>
      <c r="C14" t="s">
        <v>80</v>
      </c>
      <c r="D14" t="s">
        <v>102</v>
      </c>
      <c r="E14" t="s">
        <v>103</v>
      </c>
      <c r="F14" t="s">
        <v>158</v>
      </c>
      <c r="G14">
        <v>0.16700000000000001</v>
      </c>
      <c r="H14">
        <v>0.86199999999999999</v>
      </c>
      <c r="I14">
        <v>0.88300000000000001</v>
      </c>
      <c r="J14">
        <v>0.90200000000000002</v>
      </c>
      <c r="K14">
        <v>0.89300000000000002</v>
      </c>
      <c r="L14" s="3">
        <f t="shared" si="1"/>
        <v>0.51449999999999996</v>
      </c>
      <c r="M14">
        <v>0.88700000000000001</v>
      </c>
      <c r="N14">
        <v>1</v>
      </c>
      <c r="O14" s="3">
        <f t="shared" si="0"/>
        <v>0.80049999999999999</v>
      </c>
      <c r="P14" s="2" cm="1">
        <f t="array" ref="P14">INDEX('Readability Avg Scores'!E:E,MATCH(1,('ACF Scores'!B14 = 'Readability Avg Scores'!A:A)*('ACF Scores'!D14='Readability Avg Scores'!C:C),0))</f>
        <v>13.156750000000001</v>
      </c>
      <c r="Q14" s="14"/>
      <c r="S14" s="2"/>
      <c r="U14" s="2"/>
      <c r="W14" s="2"/>
      <c r="Y14" s="2"/>
      <c r="AA14" s="2"/>
    </row>
    <row r="15" spans="1:27" hidden="1" x14ac:dyDescent="0.2">
      <c r="A15" t="s">
        <v>128</v>
      </c>
      <c r="B15" t="s">
        <v>129</v>
      </c>
      <c r="C15" t="s">
        <v>14</v>
      </c>
      <c r="D15" t="s">
        <v>15</v>
      </c>
      <c r="E15" t="s">
        <v>16</v>
      </c>
      <c r="F15" t="s">
        <v>130</v>
      </c>
      <c r="G15">
        <v>0.5</v>
      </c>
      <c r="H15">
        <v>0.84799999999999998</v>
      </c>
      <c r="I15">
        <v>0.88800000000000001</v>
      </c>
      <c r="J15">
        <v>0.876</v>
      </c>
      <c r="K15">
        <v>0.88200000000000001</v>
      </c>
      <c r="L15" s="3">
        <f t="shared" si="1"/>
        <v>0.67399999999999993</v>
      </c>
      <c r="M15">
        <v>0.68300000000000005</v>
      </c>
      <c r="N15">
        <v>1</v>
      </c>
      <c r="O15" s="3">
        <f t="shared" si="0"/>
        <v>0.78566666666666674</v>
      </c>
      <c r="P15" s="2" cm="1">
        <f t="array" ref="P15">INDEX('Readability Avg Scores'!E:E,MATCH(1,('ACF Scores'!B15 = 'Readability Avg Scores'!A:A)*('ACF Scores'!D15='Readability Avg Scores'!C:C),0))</f>
        <v>12.275</v>
      </c>
      <c r="Q15" s="14"/>
      <c r="S15" s="2"/>
      <c r="U15" s="2"/>
      <c r="W15" s="2"/>
      <c r="Y15" s="2"/>
      <c r="AA15" s="2"/>
    </row>
    <row r="16" spans="1:27" hidden="1" x14ac:dyDescent="0.2">
      <c r="A16" t="s">
        <v>128</v>
      </c>
      <c r="B16" t="s">
        <v>129</v>
      </c>
      <c r="C16" t="s">
        <v>64</v>
      </c>
      <c r="D16" t="s">
        <v>77</v>
      </c>
      <c r="E16" t="s">
        <v>78</v>
      </c>
      <c r="F16" t="s">
        <v>150</v>
      </c>
      <c r="G16">
        <v>0.66700000000000004</v>
      </c>
      <c r="H16">
        <v>0.84799999999999998</v>
      </c>
      <c r="I16">
        <v>0.83</v>
      </c>
      <c r="J16">
        <v>0.85299999999999998</v>
      </c>
      <c r="K16">
        <v>0.84099999999999997</v>
      </c>
      <c r="L16" s="3">
        <f t="shared" si="1"/>
        <v>0.75750000000000006</v>
      </c>
      <c r="M16">
        <v>0.59899999999999998</v>
      </c>
      <c r="N16">
        <v>1</v>
      </c>
      <c r="O16" s="3">
        <f t="shared" si="0"/>
        <v>0.78549999999999998</v>
      </c>
      <c r="P16" s="2" cm="1">
        <f t="array" ref="P16">INDEX('Readability Avg Scores'!E:E,MATCH(1,('ACF Scores'!B16 = 'Readability Avg Scores'!A:A)*('ACF Scores'!D16='Readability Avg Scores'!C:C),0))</f>
        <v>12.1755</v>
      </c>
      <c r="Q16" s="14"/>
      <c r="S16" s="2"/>
      <c r="T16" s="2"/>
      <c r="W16" s="2"/>
      <c r="Y16" s="2"/>
      <c r="AA16" s="2"/>
    </row>
    <row r="17" spans="1:23" hidden="1" x14ac:dyDescent="0.2">
      <c r="A17" t="s">
        <v>128</v>
      </c>
      <c r="B17" t="s">
        <v>129</v>
      </c>
      <c r="C17" t="s">
        <v>14</v>
      </c>
      <c r="D17" t="s">
        <v>24</v>
      </c>
      <c r="E17" t="s">
        <v>25</v>
      </c>
      <c r="F17" t="s">
        <v>133</v>
      </c>
      <c r="G17">
        <v>0.5</v>
      </c>
      <c r="H17">
        <v>0.80500000000000005</v>
      </c>
      <c r="I17">
        <v>0.89800000000000002</v>
      </c>
      <c r="J17">
        <v>0.92100000000000004</v>
      </c>
      <c r="K17">
        <v>0.91</v>
      </c>
      <c r="L17" s="3">
        <f t="shared" si="1"/>
        <v>0.65250000000000008</v>
      </c>
      <c r="M17">
        <v>0.70199999999999996</v>
      </c>
      <c r="N17">
        <v>1</v>
      </c>
      <c r="O17" s="3">
        <f t="shared" si="0"/>
        <v>0.78483333333333327</v>
      </c>
      <c r="P17" s="2" cm="1">
        <f t="array" ref="P17">INDEX('Readability Avg Scores'!E:E,MATCH(1,('ACF Scores'!B17 = 'Readability Avg Scores'!A:A)*('ACF Scores'!D17='Readability Avg Scores'!C:C),0))</f>
        <v>10.42475</v>
      </c>
      <c r="Q17" s="14"/>
    </row>
    <row r="18" spans="1:23" hidden="1" x14ac:dyDescent="0.2">
      <c r="A18" t="s">
        <v>128</v>
      </c>
      <c r="B18" t="s">
        <v>129</v>
      </c>
      <c r="C18" t="s">
        <v>121</v>
      </c>
      <c r="D18" t="s">
        <v>122</v>
      </c>
      <c r="E18" t="s">
        <v>123</v>
      </c>
      <c r="F18" t="s">
        <v>164</v>
      </c>
      <c r="G18">
        <v>0.4</v>
      </c>
      <c r="H18">
        <v>0.85099999999999998</v>
      </c>
      <c r="I18">
        <v>0.86099999999999999</v>
      </c>
      <c r="J18">
        <v>0.90500000000000003</v>
      </c>
      <c r="K18">
        <v>0.88200000000000001</v>
      </c>
      <c r="L18" s="3">
        <f t="shared" si="1"/>
        <v>0.62549999999999994</v>
      </c>
      <c r="M18">
        <v>0.68</v>
      </c>
      <c r="N18">
        <v>1</v>
      </c>
      <c r="O18" s="3">
        <f t="shared" si="0"/>
        <v>0.76850000000000007</v>
      </c>
      <c r="P18" s="2" cm="1">
        <f t="array" ref="P18">INDEX('Readability Avg Scores'!E:E,MATCH(1,('ACF Scores'!B18 = 'Readability Avg Scores'!A:A)*('ACF Scores'!D18='Readability Avg Scores'!C:C),0))</f>
        <v>16.907499999999999</v>
      </c>
      <c r="Q18" s="14"/>
    </row>
    <row r="19" spans="1:23" hidden="1" x14ac:dyDescent="0.2">
      <c r="A19" t="s">
        <v>128</v>
      </c>
      <c r="B19" t="s">
        <v>129</v>
      </c>
      <c r="C19" t="s">
        <v>33</v>
      </c>
      <c r="D19" t="s">
        <v>61</v>
      </c>
      <c r="E19" t="s">
        <v>62</v>
      </c>
      <c r="F19" t="s">
        <v>145</v>
      </c>
      <c r="G19">
        <v>0.55600000000000005</v>
      </c>
      <c r="H19">
        <v>0.87</v>
      </c>
      <c r="I19">
        <v>0.84699999999999998</v>
      </c>
      <c r="J19">
        <v>0.84799999999999998</v>
      </c>
      <c r="K19">
        <v>0.84799999999999998</v>
      </c>
      <c r="L19" s="3">
        <f t="shared" si="1"/>
        <v>0.71300000000000008</v>
      </c>
      <c r="M19">
        <v>0.57499999999999996</v>
      </c>
      <c r="N19">
        <v>1</v>
      </c>
      <c r="O19" s="3">
        <f t="shared" si="0"/>
        <v>0.76266666666666671</v>
      </c>
      <c r="P19" s="2" cm="1">
        <f t="array" ref="P19">INDEX('Readability Avg Scores'!E:E,MATCH(1,('ACF Scores'!B19 = 'Readability Avg Scores'!A:A)*('ACF Scores'!D19='Readability Avg Scores'!C:C),0))</f>
        <v>13.86675</v>
      </c>
      <c r="Q19" s="14"/>
      <c r="S19" s="2"/>
      <c r="U19" s="2"/>
      <c r="W19" s="2"/>
    </row>
    <row r="20" spans="1:23" hidden="1" x14ac:dyDescent="0.2">
      <c r="A20" t="s">
        <v>128</v>
      </c>
      <c r="B20" t="s">
        <v>129</v>
      </c>
      <c r="C20" t="s">
        <v>105</v>
      </c>
      <c r="D20" t="s">
        <v>109</v>
      </c>
      <c r="E20" t="s">
        <v>110</v>
      </c>
      <c r="F20" t="s">
        <v>160</v>
      </c>
      <c r="G20">
        <v>0.5</v>
      </c>
      <c r="H20">
        <v>0.89500000000000002</v>
      </c>
      <c r="I20">
        <v>0.89200000000000002</v>
      </c>
      <c r="J20">
        <v>0.87</v>
      </c>
      <c r="K20">
        <v>0.88</v>
      </c>
      <c r="L20" s="3">
        <f t="shared" si="1"/>
        <v>0.69750000000000001</v>
      </c>
      <c r="M20">
        <v>0.54700000000000004</v>
      </c>
      <c r="N20">
        <v>1</v>
      </c>
      <c r="O20" s="3">
        <f t="shared" si="0"/>
        <v>0.74816666666666676</v>
      </c>
      <c r="P20" s="2" cm="1">
        <f t="array" ref="P20">INDEX('Readability Avg Scores'!E:E,MATCH(1,('ACF Scores'!B20 = 'Readability Avg Scores'!A:A)*('ACF Scores'!D20='Readability Avg Scores'!C:C),0))</f>
        <v>12.372</v>
      </c>
      <c r="Q20" s="14"/>
      <c r="S20" s="2"/>
      <c r="U20" s="2"/>
    </row>
    <row r="21" spans="1:23" hidden="1" x14ac:dyDescent="0.2">
      <c r="A21" t="s">
        <v>128</v>
      </c>
      <c r="B21" t="s">
        <v>129</v>
      </c>
      <c r="C21" t="s">
        <v>14</v>
      </c>
      <c r="D21" t="s">
        <v>21</v>
      </c>
      <c r="E21" t="s">
        <v>22</v>
      </c>
      <c r="F21" t="s">
        <v>132</v>
      </c>
      <c r="G21">
        <v>0.25</v>
      </c>
      <c r="H21">
        <v>0.83799999999999997</v>
      </c>
      <c r="I21">
        <v>0.86699999999999999</v>
      </c>
      <c r="J21">
        <v>0.88800000000000001</v>
      </c>
      <c r="K21">
        <v>0.877</v>
      </c>
      <c r="L21" s="3">
        <f t="shared" si="1"/>
        <v>0.54400000000000004</v>
      </c>
      <c r="M21">
        <v>0.68500000000000005</v>
      </c>
      <c r="N21">
        <v>1</v>
      </c>
      <c r="O21" s="3">
        <f t="shared" si="0"/>
        <v>0.74299999999999999</v>
      </c>
      <c r="P21" s="2" cm="1">
        <f t="array" ref="P21">INDEX('Readability Avg Scores'!E:E,MATCH(1,('ACF Scores'!B21 = 'Readability Avg Scores'!A:A)*('ACF Scores'!D21='Readability Avg Scores'!C:C),0))</f>
        <v>13.5185</v>
      </c>
      <c r="Q21" s="14"/>
      <c r="S21" s="2"/>
    </row>
    <row r="22" spans="1:23" hidden="1" x14ac:dyDescent="0.2">
      <c r="A22" t="s">
        <v>128</v>
      </c>
      <c r="B22" t="s">
        <v>129</v>
      </c>
      <c r="C22" t="s">
        <v>64</v>
      </c>
      <c r="D22" t="s">
        <v>71</v>
      </c>
      <c r="E22" t="s">
        <v>72</v>
      </c>
      <c r="F22" t="s">
        <v>148</v>
      </c>
      <c r="G22">
        <v>0.38900000000000001</v>
      </c>
      <c r="H22">
        <v>0.83399999999999996</v>
      </c>
      <c r="I22">
        <v>0.83899999999999997</v>
      </c>
      <c r="J22">
        <v>0.84099999999999997</v>
      </c>
      <c r="K22">
        <v>0.84</v>
      </c>
      <c r="L22" s="3">
        <f t="shared" si="1"/>
        <v>0.61149999999999993</v>
      </c>
      <c r="M22">
        <v>0.58799999999999997</v>
      </c>
      <c r="N22">
        <v>1</v>
      </c>
      <c r="O22" s="3">
        <f t="shared" si="0"/>
        <v>0.73316666666666663</v>
      </c>
      <c r="P22" s="2" cm="1">
        <f t="array" ref="P22">INDEX('Readability Avg Scores'!E:E,MATCH(1,('ACF Scores'!B22 = 'Readability Avg Scores'!A:A)*('ACF Scores'!D22='Readability Avg Scores'!C:C),0))</f>
        <v>16.8855</v>
      </c>
      <c r="Q22" s="14"/>
    </row>
    <row r="23" spans="1:23" hidden="1" x14ac:dyDescent="0.2">
      <c r="A23" t="s">
        <v>128</v>
      </c>
      <c r="B23" t="s">
        <v>129</v>
      </c>
      <c r="C23" t="s">
        <v>33</v>
      </c>
      <c r="D23" t="s">
        <v>55</v>
      </c>
      <c r="E23" t="s">
        <v>56</v>
      </c>
      <c r="F23" t="s">
        <v>143</v>
      </c>
      <c r="G23">
        <v>0.5</v>
      </c>
      <c r="H23">
        <v>0.89200000000000002</v>
      </c>
      <c r="I23">
        <v>0.83299999999999996</v>
      </c>
      <c r="J23">
        <v>0.81100000000000005</v>
      </c>
      <c r="K23">
        <v>0.82199999999999995</v>
      </c>
      <c r="L23" s="3">
        <f t="shared" si="1"/>
        <v>0.69599999999999995</v>
      </c>
      <c r="M23">
        <v>0.46600000000000003</v>
      </c>
      <c r="N23">
        <v>1</v>
      </c>
      <c r="O23" s="3">
        <f t="shared" si="0"/>
        <v>0.72066666666666668</v>
      </c>
      <c r="P23" s="2" cm="1">
        <f t="array" ref="P23">INDEX('Readability Avg Scores'!E:E,MATCH(1,('ACF Scores'!B23 = 'Readability Avg Scores'!A:A)*('ACF Scores'!D23='Readability Avg Scores'!C:C),0))</f>
        <v>14.382</v>
      </c>
      <c r="Q23" s="14"/>
    </row>
    <row r="24" spans="1:23" hidden="1" x14ac:dyDescent="0.2">
      <c r="A24" t="s">
        <v>128</v>
      </c>
      <c r="B24" t="s">
        <v>129</v>
      </c>
      <c r="C24" t="s">
        <v>33</v>
      </c>
      <c r="D24" t="s">
        <v>49</v>
      </c>
      <c r="E24" t="s">
        <v>50</v>
      </c>
      <c r="F24" t="s">
        <v>141</v>
      </c>
      <c r="G24">
        <v>0</v>
      </c>
      <c r="H24">
        <v>0.85599999999999998</v>
      </c>
      <c r="I24">
        <v>0.84499999999999997</v>
      </c>
      <c r="J24">
        <v>0.84699999999999998</v>
      </c>
      <c r="K24">
        <v>0.84599999999999997</v>
      </c>
      <c r="L24" s="3">
        <f t="shared" si="1"/>
        <v>0.42799999999999999</v>
      </c>
      <c r="M24">
        <v>0.68300000000000005</v>
      </c>
      <c r="N24">
        <v>1</v>
      </c>
      <c r="O24" s="3">
        <f t="shared" si="0"/>
        <v>0.70366666666666677</v>
      </c>
      <c r="P24" s="2" cm="1">
        <f t="array" ref="P24">INDEX('Readability Avg Scores'!E:E,MATCH(1,('ACF Scores'!B24 = 'Readability Avg Scores'!A:A)*('ACF Scores'!D24='Readability Avg Scores'!C:C),0))</f>
        <v>15.697749999999999</v>
      </c>
      <c r="Q24" s="14"/>
      <c r="R24" s="2"/>
      <c r="S24" s="2"/>
    </row>
    <row r="25" spans="1:23" hidden="1" x14ac:dyDescent="0.2">
      <c r="A25" t="s">
        <v>128</v>
      </c>
      <c r="B25" t="s">
        <v>129</v>
      </c>
      <c r="C25" t="s">
        <v>33</v>
      </c>
      <c r="D25" t="s">
        <v>43</v>
      </c>
      <c r="E25" t="s">
        <v>44</v>
      </c>
      <c r="F25" t="s">
        <v>139</v>
      </c>
      <c r="G25">
        <v>0.16700000000000001</v>
      </c>
      <c r="H25">
        <v>0.85799999999999998</v>
      </c>
      <c r="I25">
        <v>0.85</v>
      </c>
      <c r="J25">
        <v>0.85599999999999998</v>
      </c>
      <c r="K25">
        <v>0.85299999999999998</v>
      </c>
      <c r="L25" s="3">
        <f t="shared" si="1"/>
        <v>0.51249999999999996</v>
      </c>
      <c r="M25">
        <v>0.58699999999999997</v>
      </c>
      <c r="N25">
        <v>1</v>
      </c>
      <c r="O25" s="3">
        <f t="shared" si="0"/>
        <v>0.69983333333333331</v>
      </c>
      <c r="P25" s="2" cm="1">
        <f t="array" ref="P25">INDEX('Readability Avg Scores'!E:E,MATCH(1,('ACF Scores'!B25 = 'Readability Avg Scores'!A:A)*('ACF Scores'!D25='Readability Avg Scores'!C:C),0))</f>
        <v>18.178999999999998</v>
      </c>
      <c r="Q25" s="14"/>
      <c r="S25" s="2"/>
    </row>
    <row r="26" spans="1:23" hidden="1" x14ac:dyDescent="0.2">
      <c r="A26" t="s">
        <v>128</v>
      </c>
      <c r="B26" t="s">
        <v>129</v>
      </c>
      <c r="C26" t="s">
        <v>33</v>
      </c>
      <c r="D26" t="s">
        <v>34</v>
      </c>
      <c r="E26" t="s">
        <v>35</v>
      </c>
      <c r="F26" t="s">
        <v>136</v>
      </c>
      <c r="G26">
        <v>0.25</v>
      </c>
      <c r="H26">
        <v>0.86199999999999999</v>
      </c>
      <c r="I26">
        <v>0.84399999999999997</v>
      </c>
      <c r="J26">
        <v>0.877</v>
      </c>
      <c r="K26">
        <v>0.86</v>
      </c>
      <c r="L26" s="3">
        <f t="shared" si="1"/>
        <v>0.55600000000000005</v>
      </c>
      <c r="M26">
        <v>0.50800000000000001</v>
      </c>
      <c r="N26">
        <v>1</v>
      </c>
      <c r="O26" s="3">
        <f t="shared" si="0"/>
        <v>0.68800000000000006</v>
      </c>
      <c r="P26" s="2" cm="1">
        <f t="array" ref="P26">INDEX('Readability Avg Scores'!E:E,MATCH(1,('ACF Scores'!B26 = 'Readability Avg Scores'!A:A)*('ACF Scores'!D26='Readability Avg Scores'!C:C),0))</f>
        <v>16.193249999999999</v>
      </c>
      <c r="Q26" s="14"/>
      <c r="S26" s="2"/>
    </row>
    <row r="27" spans="1:23" hidden="1" x14ac:dyDescent="0.2">
      <c r="A27" t="s">
        <v>128</v>
      </c>
      <c r="B27" t="s">
        <v>129</v>
      </c>
      <c r="C27" t="s">
        <v>33</v>
      </c>
      <c r="D27" t="s">
        <v>46</v>
      </c>
      <c r="E27" t="s">
        <v>47</v>
      </c>
      <c r="F27" t="s">
        <v>140</v>
      </c>
      <c r="G27">
        <v>6.2E-2</v>
      </c>
      <c r="H27">
        <v>0.85299999999999998</v>
      </c>
      <c r="I27">
        <v>0.84799999999999998</v>
      </c>
      <c r="J27">
        <v>0.86</v>
      </c>
      <c r="K27">
        <v>0.85399999999999998</v>
      </c>
      <c r="L27" s="3">
        <f t="shared" si="1"/>
        <v>0.45750000000000002</v>
      </c>
      <c r="M27">
        <v>0.56599999999999995</v>
      </c>
      <c r="N27">
        <v>1</v>
      </c>
      <c r="O27" s="3">
        <f t="shared" si="0"/>
        <v>0.67449999999999999</v>
      </c>
      <c r="P27" s="2" cm="1">
        <f t="array" ref="P27">INDEX('Readability Avg Scores'!E:E,MATCH(1,('ACF Scores'!B27 = 'Readability Avg Scores'!A:A)*('ACF Scores'!D27='Readability Avg Scores'!C:C),0))</f>
        <v>14.939499999999899</v>
      </c>
      <c r="Q27" s="14"/>
    </row>
    <row r="28" spans="1:23" hidden="1" x14ac:dyDescent="0.2">
      <c r="A28" t="s">
        <v>128</v>
      </c>
      <c r="B28" t="s">
        <v>129</v>
      </c>
      <c r="C28" t="s">
        <v>105</v>
      </c>
      <c r="D28" t="s">
        <v>106</v>
      </c>
      <c r="E28" t="s">
        <v>107</v>
      </c>
      <c r="F28" t="s">
        <v>159</v>
      </c>
      <c r="G28">
        <v>0.2</v>
      </c>
      <c r="H28">
        <v>0.86499999999999999</v>
      </c>
      <c r="I28">
        <v>0.85899999999999999</v>
      </c>
      <c r="J28">
        <v>0.86399999999999999</v>
      </c>
      <c r="K28">
        <v>0.86199999999999999</v>
      </c>
      <c r="L28" s="3">
        <f t="shared" si="1"/>
        <v>0.53249999999999997</v>
      </c>
      <c r="M28">
        <v>0.45900000000000002</v>
      </c>
      <c r="N28">
        <v>1</v>
      </c>
      <c r="O28" s="3">
        <f t="shared" si="0"/>
        <v>0.66383333333333339</v>
      </c>
      <c r="P28" s="2" cm="1">
        <f t="array" ref="P28">INDEX('Readability Avg Scores'!E:E,MATCH(1,('ACF Scores'!B28 = 'Readability Avg Scores'!A:A)*('ACF Scores'!D28='Readability Avg Scores'!C:C),0))</f>
        <v>12.998249999999899</v>
      </c>
      <c r="Q28" s="14"/>
    </row>
    <row r="29" spans="1:23" hidden="1" x14ac:dyDescent="0.2">
      <c r="A29" t="s">
        <v>128</v>
      </c>
      <c r="B29" t="s">
        <v>129</v>
      </c>
      <c r="C29" t="s">
        <v>33</v>
      </c>
      <c r="D29" t="s">
        <v>58</v>
      </c>
      <c r="E29" t="s">
        <v>59</v>
      </c>
      <c r="F29" t="s">
        <v>144</v>
      </c>
      <c r="G29">
        <v>0</v>
      </c>
      <c r="H29">
        <v>0.84499999999999997</v>
      </c>
      <c r="I29">
        <v>0.85199999999999998</v>
      </c>
      <c r="J29">
        <v>0.82799999999999996</v>
      </c>
      <c r="K29">
        <v>0.84</v>
      </c>
      <c r="L29" s="3">
        <f t="shared" si="1"/>
        <v>0.42249999999999999</v>
      </c>
      <c r="M29">
        <v>0.51400000000000001</v>
      </c>
      <c r="N29">
        <v>1</v>
      </c>
      <c r="O29" s="3">
        <f t="shared" si="0"/>
        <v>0.64550000000000007</v>
      </c>
      <c r="P29" s="2" cm="1">
        <f t="array" ref="P29">INDEX('Readability Avg Scores'!E:E,MATCH(1,('ACF Scores'!B29 = 'Readability Avg Scores'!A:A)*('ACF Scores'!D29='Readability Avg Scores'!C:C),0))</f>
        <v>16.52</v>
      </c>
      <c r="Q29" s="14"/>
    </row>
    <row r="30" spans="1:23" hidden="1" x14ac:dyDescent="0.2">
      <c r="A30" t="s">
        <v>166</v>
      </c>
      <c r="B30" t="s">
        <v>167</v>
      </c>
      <c r="C30" t="s">
        <v>80</v>
      </c>
      <c r="D30" t="s">
        <v>87</v>
      </c>
      <c r="E30" t="s">
        <v>88</v>
      </c>
      <c r="F30" t="s">
        <v>191</v>
      </c>
      <c r="G30">
        <v>0.5</v>
      </c>
      <c r="H30">
        <v>0.85899999999999999</v>
      </c>
      <c r="I30">
        <v>0.85399999999999998</v>
      </c>
      <c r="J30">
        <v>0.85699999999999998</v>
      </c>
      <c r="K30">
        <v>0.85499999999999998</v>
      </c>
      <c r="L30" s="3">
        <f t="shared" si="1"/>
        <v>0.67949999999999999</v>
      </c>
      <c r="M30">
        <v>0.621</v>
      </c>
      <c r="N30">
        <v>0</v>
      </c>
      <c r="O30" s="3">
        <f t="shared" si="0"/>
        <v>0.4335</v>
      </c>
      <c r="P30" s="2" cm="1">
        <f t="array" ref="P30">INDEX('Readability Avg Scores'!E:E,MATCH(1,('ACF Scores'!B30 = 'Readability Avg Scores'!A:A)*('ACF Scores'!D30='Readability Avg Scores'!C:C),0))</f>
        <v>15.516500000000001</v>
      </c>
      <c r="Q30" s="14"/>
    </row>
    <row r="31" spans="1:23" hidden="1" x14ac:dyDescent="0.2">
      <c r="A31" t="s">
        <v>166</v>
      </c>
      <c r="B31" t="s">
        <v>167</v>
      </c>
      <c r="C31" t="s">
        <v>14</v>
      </c>
      <c r="D31" t="s">
        <v>24</v>
      </c>
      <c r="E31" t="s">
        <v>25</v>
      </c>
      <c r="F31" t="s">
        <v>171</v>
      </c>
      <c r="G31">
        <v>0.5</v>
      </c>
      <c r="H31">
        <v>0.79900000000000004</v>
      </c>
      <c r="I31">
        <v>0.84599999999999997</v>
      </c>
      <c r="J31">
        <v>0.878</v>
      </c>
      <c r="K31">
        <v>0.86199999999999999</v>
      </c>
      <c r="L31" s="3">
        <f t="shared" si="1"/>
        <v>0.64949999999999997</v>
      </c>
      <c r="M31">
        <v>0.46600000000000003</v>
      </c>
      <c r="N31">
        <v>0</v>
      </c>
      <c r="O31" s="3">
        <f t="shared" si="0"/>
        <v>0.37183333333333329</v>
      </c>
      <c r="P31" s="2" cm="1">
        <f t="array" ref="P31">INDEX('Readability Avg Scores'!E:E,MATCH(1,('ACF Scores'!B31 = 'Readability Avg Scores'!A:A)*('ACF Scores'!D31='Readability Avg Scores'!C:C),0))</f>
        <v>14.3405</v>
      </c>
      <c r="Q31" s="14"/>
    </row>
    <row r="32" spans="1:23" hidden="1" x14ac:dyDescent="0.2">
      <c r="A32" t="s">
        <v>12</v>
      </c>
      <c r="B32" t="s">
        <v>13</v>
      </c>
      <c r="C32" t="s">
        <v>64</v>
      </c>
      <c r="D32" t="s">
        <v>74</v>
      </c>
      <c r="E32" t="s">
        <v>75</v>
      </c>
      <c r="F32" t="s">
        <v>76</v>
      </c>
      <c r="G32">
        <v>0</v>
      </c>
      <c r="H32">
        <v>0.86099999999999999</v>
      </c>
      <c r="I32">
        <v>0.84499999999999997</v>
      </c>
      <c r="J32">
        <v>0.83599999999999997</v>
      </c>
      <c r="K32">
        <v>0.84</v>
      </c>
      <c r="L32" s="3">
        <f t="shared" si="1"/>
        <v>0.43049999999999999</v>
      </c>
      <c r="M32">
        <v>0.27</v>
      </c>
      <c r="N32">
        <v>0</v>
      </c>
      <c r="O32" s="3">
        <f t="shared" si="0"/>
        <v>0.23350000000000001</v>
      </c>
      <c r="P32" s="2" cm="1">
        <f t="array" ref="P32">INDEX('Readability Avg Scores'!E:E,MATCH(1,('ACF Scores'!B32 = 'Readability Avg Scores'!A:A)*('ACF Scores'!D32='Readability Avg Scores'!C:C),0))</f>
        <v>11.33475</v>
      </c>
      <c r="Q32" s="14"/>
    </row>
    <row r="33" spans="1:17" hidden="1" x14ac:dyDescent="0.2">
      <c r="A33" t="s">
        <v>128</v>
      </c>
      <c r="B33" t="s">
        <v>129</v>
      </c>
      <c r="C33" t="s">
        <v>14</v>
      </c>
      <c r="D33" t="s">
        <v>30</v>
      </c>
      <c r="E33" t="s">
        <v>31</v>
      </c>
      <c r="F33" t="s">
        <v>135</v>
      </c>
      <c r="G33">
        <v>0.2</v>
      </c>
      <c r="H33">
        <v>0.83</v>
      </c>
      <c r="I33">
        <v>0.84099999999999997</v>
      </c>
      <c r="J33">
        <v>0.874</v>
      </c>
      <c r="K33">
        <v>0.85699999999999998</v>
      </c>
      <c r="L33" s="3">
        <f t="shared" si="1"/>
        <v>0.51500000000000001</v>
      </c>
      <c r="M33">
        <v>0.71399999999999997</v>
      </c>
      <c r="N33">
        <v>0.5</v>
      </c>
      <c r="O33" s="3">
        <f t="shared" si="0"/>
        <v>0.57633333333333336</v>
      </c>
      <c r="P33" s="2" cm="1">
        <f t="array" ref="P33">INDEX('Readability Avg Scores'!E:E,MATCH(1,('ACF Scores'!B33 = 'Readability Avg Scores'!A:A)*('ACF Scores'!D33='Readability Avg Scores'!C:C),0))</f>
        <v>15.913500000000001</v>
      </c>
      <c r="Q33" s="14"/>
    </row>
    <row r="34" spans="1:17" hidden="1" x14ac:dyDescent="0.2">
      <c r="A34" t="s">
        <v>128</v>
      </c>
      <c r="B34" t="s">
        <v>129</v>
      </c>
      <c r="C34" t="s">
        <v>33</v>
      </c>
      <c r="D34" t="s">
        <v>40</v>
      </c>
      <c r="E34" t="s">
        <v>41</v>
      </c>
      <c r="F34" t="s">
        <v>138</v>
      </c>
      <c r="G34">
        <v>0</v>
      </c>
      <c r="H34">
        <v>0.84199999999999997</v>
      </c>
      <c r="I34">
        <v>0.84399999999999997</v>
      </c>
      <c r="J34">
        <v>0.83</v>
      </c>
      <c r="K34">
        <v>0.83699999999999997</v>
      </c>
      <c r="L34" s="3">
        <f t="shared" si="1"/>
        <v>0.42099999999999999</v>
      </c>
      <c r="M34">
        <v>0.73599999999999999</v>
      </c>
      <c r="N34">
        <v>0.5</v>
      </c>
      <c r="O34" s="3">
        <f t="shared" ref="O34:O65" si="2">(N34+M34+(G34+H34)/2)/3</f>
        <v>0.55233333333333334</v>
      </c>
      <c r="P34" s="2" cm="1">
        <f t="array" ref="P34">INDEX('Readability Avg Scores'!E:E,MATCH(1,('ACF Scores'!B34 = 'Readability Avg Scores'!A:A)*('ACF Scores'!D34='Readability Avg Scores'!C:C),0))</f>
        <v>15.01125</v>
      </c>
      <c r="Q34" s="14"/>
    </row>
    <row r="35" spans="1:17" hidden="1" x14ac:dyDescent="0.2">
      <c r="A35" t="s">
        <v>128</v>
      </c>
      <c r="B35" t="s">
        <v>129</v>
      </c>
      <c r="C35" t="s">
        <v>80</v>
      </c>
      <c r="D35" t="s">
        <v>87</v>
      </c>
      <c r="E35" t="s">
        <v>88</v>
      </c>
      <c r="F35" t="s">
        <v>153</v>
      </c>
      <c r="G35">
        <v>0.125</v>
      </c>
      <c r="H35">
        <v>0.86099999999999999</v>
      </c>
      <c r="I35">
        <v>0.85299999999999998</v>
      </c>
      <c r="J35">
        <v>0.85899999999999999</v>
      </c>
      <c r="K35">
        <v>0.85599999999999998</v>
      </c>
      <c r="L35" s="3">
        <f t="shared" si="1"/>
        <v>0.49299999999999999</v>
      </c>
      <c r="M35">
        <v>0.63600000000000001</v>
      </c>
      <c r="N35">
        <v>0.5</v>
      </c>
      <c r="O35" s="3">
        <f t="shared" si="2"/>
        <v>0.54300000000000004</v>
      </c>
      <c r="P35" s="2" cm="1">
        <f t="array" ref="P35">INDEX('Readability Avg Scores'!E:E,MATCH(1,('ACF Scores'!B35 = 'Readability Avg Scores'!A:A)*('ACF Scores'!D35='Readability Avg Scores'!C:C),0))</f>
        <v>17.142499999999998</v>
      </c>
      <c r="Q35" s="14"/>
    </row>
    <row r="36" spans="1:17" hidden="1" x14ac:dyDescent="0.2">
      <c r="A36" t="s">
        <v>128</v>
      </c>
      <c r="B36" t="s">
        <v>129</v>
      </c>
      <c r="C36" t="s">
        <v>33</v>
      </c>
      <c r="D36" t="s">
        <v>37</v>
      </c>
      <c r="E36" t="s">
        <v>38</v>
      </c>
      <c r="F36" t="s">
        <v>137</v>
      </c>
      <c r="G36">
        <v>0.17199999999999999</v>
      </c>
      <c r="H36">
        <v>0.84599999999999997</v>
      </c>
      <c r="I36">
        <v>0.85899999999999999</v>
      </c>
      <c r="J36">
        <v>0.83499999999999996</v>
      </c>
      <c r="K36">
        <v>0.84699999999999998</v>
      </c>
      <c r="L36" s="3">
        <f t="shared" si="1"/>
        <v>0.50900000000000001</v>
      </c>
      <c r="M36">
        <v>0.59799999999999998</v>
      </c>
      <c r="N36">
        <v>0.5</v>
      </c>
      <c r="O36" s="3">
        <f t="shared" si="2"/>
        <v>0.53566666666666662</v>
      </c>
      <c r="P36" s="2" cm="1">
        <f t="array" ref="P36">INDEX('Readability Avg Scores'!E:E,MATCH(1,('ACF Scores'!B36 = 'Readability Avg Scores'!A:A)*('ACF Scores'!D36='Readability Avg Scores'!C:C),0))</f>
        <v>14.368</v>
      </c>
      <c r="Q36" s="14"/>
    </row>
    <row r="37" spans="1:17" hidden="1" x14ac:dyDescent="0.2">
      <c r="A37" t="s">
        <v>128</v>
      </c>
      <c r="B37" t="s">
        <v>129</v>
      </c>
      <c r="C37" t="s">
        <v>64</v>
      </c>
      <c r="D37" t="s">
        <v>74</v>
      </c>
      <c r="E37" t="s">
        <v>75</v>
      </c>
      <c r="F37" t="s">
        <v>149</v>
      </c>
      <c r="G37">
        <v>0.55600000000000005</v>
      </c>
      <c r="H37">
        <v>0.85899999999999999</v>
      </c>
      <c r="I37">
        <v>0.84699999999999998</v>
      </c>
      <c r="J37">
        <v>0.85899999999999999</v>
      </c>
      <c r="K37">
        <v>0.85299999999999998</v>
      </c>
      <c r="L37" s="3">
        <f t="shared" si="1"/>
        <v>0.70750000000000002</v>
      </c>
      <c r="M37">
        <v>0.38900000000000001</v>
      </c>
      <c r="N37">
        <v>0.5</v>
      </c>
      <c r="O37" s="3">
        <f t="shared" si="2"/>
        <v>0.53216666666666668</v>
      </c>
      <c r="P37" s="2" cm="1">
        <f t="array" ref="P37">INDEX('Readability Avg Scores'!E:E,MATCH(1,('ACF Scores'!B37 = 'Readability Avg Scores'!A:A)*('ACF Scores'!D37='Readability Avg Scores'!C:C),0))</f>
        <v>14.525</v>
      </c>
      <c r="Q37" s="14"/>
    </row>
    <row r="38" spans="1:17" hidden="1" x14ac:dyDescent="0.2">
      <c r="A38" t="s">
        <v>166</v>
      </c>
      <c r="B38" t="s">
        <v>167</v>
      </c>
      <c r="C38" t="s">
        <v>14</v>
      </c>
      <c r="D38" t="s">
        <v>18</v>
      </c>
      <c r="E38" t="s">
        <v>19</v>
      </c>
      <c r="F38" t="s">
        <v>169</v>
      </c>
      <c r="G38">
        <v>0.95199999999999996</v>
      </c>
      <c r="H38">
        <v>0.90900000000000003</v>
      </c>
      <c r="I38">
        <v>0.88700000000000001</v>
      </c>
      <c r="J38">
        <v>0.93600000000000005</v>
      </c>
      <c r="K38">
        <v>0.91100000000000003</v>
      </c>
      <c r="L38" s="3">
        <f t="shared" si="1"/>
        <v>0.93049999999999999</v>
      </c>
      <c r="M38">
        <v>0.90200000000000002</v>
      </c>
      <c r="N38">
        <v>1</v>
      </c>
      <c r="O38" s="3">
        <f t="shared" si="2"/>
        <v>0.94416666666666671</v>
      </c>
      <c r="P38" s="2" cm="1">
        <f t="array" ref="P38">INDEX('Readability Avg Scores'!E:E,MATCH(1,('ACF Scores'!B38 = 'Readability Avg Scores'!A:A)*('ACF Scores'!D38='Readability Avg Scores'!C:C),0))</f>
        <v>15.839499999999999</v>
      </c>
      <c r="Q38" s="14"/>
    </row>
    <row r="39" spans="1:17" hidden="1" x14ac:dyDescent="0.2">
      <c r="A39" t="s">
        <v>166</v>
      </c>
      <c r="B39" t="s">
        <v>167</v>
      </c>
      <c r="C39" t="s">
        <v>14</v>
      </c>
      <c r="D39" t="s">
        <v>21</v>
      </c>
      <c r="E39" t="s">
        <v>22</v>
      </c>
      <c r="F39" t="s">
        <v>170</v>
      </c>
      <c r="G39">
        <v>1</v>
      </c>
      <c r="H39">
        <v>0.871</v>
      </c>
      <c r="I39">
        <v>0.86899999999999999</v>
      </c>
      <c r="J39">
        <v>0.90300000000000002</v>
      </c>
      <c r="K39">
        <v>0.88600000000000001</v>
      </c>
      <c r="L39" s="3">
        <f t="shared" si="1"/>
        <v>0.9355</v>
      </c>
      <c r="M39">
        <v>0.73</v>
      </c>
      <c r="N39">
        <v>1</v>
      </c>
      <c r="O39" s="3">
        <f t="shared" si="2"/>
        <v>0.88849999999999996</v>
      </c>
      <c r="P39" s="2" cm="1">
        <f t="array" ref="P39">INDEX('Readability Avg Scores'!E:E,MATCH(1,('ACF Scores'!B39 = 'Readability Avg Scores'!A:A)*('ACF Scores'!D39='Readability Avg Scores'!C:C),0))</f>
        <v>14.593249999999999</v>
      </c>
      <c r="Q39" s="14"/>
    </row>
    <row r="40" spans="1:17" hidden="1" x14ac:dyDescent="0.2">
      <c r="A40" t="s">
        <v>166</v>
      </c>
      <c r="B40" t="s">
        <v>167</v>
      </c>
      <c r="C40" t="s">
        <v>80</v>
      </c>
      <c r="D40" t="s">
        <v>96</v>
      </c>
      <c r="E40" t="s">
        <v>97</v>
      </c>
      <c r="F40" t="s">
        <v>194</v>
      </c>
      <c r="G40">
        <v>0.88900000000000001</v>
      </c>
      <c r="H40">
        <v>0.88</v>
      </c>
      <c r="I40">
        <v>0.84399999999999997</v>
      </c>
      <c r="J40">
        <v>0.871</v>
      </c>
      <c r="K40">
        <v>0.85699999999999998</v>
      </c>
      <c r="L40" s="3">
        <f t="shared" si="1"/>
        <v>0.88450000000000006</v>
      </c>
      <c r="M40">
        <v>0.77700000000000002</v>
      </c>
      <c r="N40">
        <v>1</v>
      </c>
      <c r="O40" s="3">
        <f t="shared" si="2"/>
        <v>0.88716666666666677</v>
      </c>
      <c r="P40" s="2" cm="1">
        <f t="array" ref="P40">INDEX('Readability Avg Scores'!E:E,MATCH(1,('ACF Scores'!B40 = 'Readability Avg Scores'!A:A)*('ACF Scores'!D40='Readability Avg Scores'!C:C),0))</f>
        <v>23.586749999999999</v>
      </c>
      <c r="Q40" s="14"/>
    </row>
    <row r="41" spans="1:17" hidden="1" x14ac:dyDescent="0.2">
      <c r="A41" t="s">
        <v>166</v>
      </c>
      <c r="B41" t="s">
        <v>167</v>
      </c>
      <c r="C41" t="s">
        <v>14</v>
      </c>
      <c r="D41" t="s">
        <v>15</v>
      </c>
      <c r="E41" t="s">
        <v>16</v>
      </c>
      <c r="F41" t="s">
        <v>168</v>
      </c>
      <c r="G41">
        <v>1</v>
      </c>
      <c r="H41">
        <v>0.86199999999999999</v>
      </c>
      <c r="I41">
        <v>0.876</v>
      </c>
      <c r="J41">
        <v>0.88200000000000001</v>
      </c>
      <c r="K41">
        <v>0.879</v>
      </c>
      <c r="L41" s="3">
        <f t="shared" si="1"/>
        <v>0.93100000000000005</v>
      </c>
      <c r="M41">
        <v>0.70599999999999996</v>
      </c>
      <c r="N41">
        <v>1</v>
      </c>
      <c r="O41" s="3">
        <f t="shared" si="2"/>
        <v>0.879</v>
      </c>
      <c r="P41" s="2" cm="1">
        <f t="array" ref="P41">INDEX('Readability Avg Scores'!E:E,MATCH(1,('ACF Scores'!B41 = 'Readability Avg Scores'!A:A)*('ACF Scores'!D41='Readability Avg Scores'!C:C),0))</f>
        <v>15.195499999999999</v>
      </c>
      <c r="Q41" s="14"/>
    </row>
    <row r="42" spans="1:17" hidden="1" x14ac:dyDescent="0.2">
      <c r="A42" t="s">
        <v>166</v>
      </c>
      <c r="B42" t="s">
        <v>167</v>
      </c>
      <c r="C42" t="s">
        <v>105</v>
      </c>
      <c r="D42" t="s">
        <v>109</v>
      </c>
      <c r="E42" t="s">
        <v>110</v>
      </c>
      <c r="F42" t="s">
        <v>198</v>
      </c>
      <c r="G42">
        <v>1</v>
      </c>
      <c r="H42">
        <v>0.92900000000000005</v>
      </c>
      <c r="I42">
        <v>0.88900000000000001</v>
      </c>
      <c r="J42">
        <v>0.88500000000000001</v>
      </c>
      <c r="K42">
        <v>0.88700000000000001</v>
      </c>
      <c r="L42" s="3">
        <f t="shared" si="1"/>
        <v>0.96450000000000002</v>
      </c>
      <c r="M42">
        <v>0.67100000000000004</v>
      </c>
      <c r="N42">
        <v>1</v>
      </c>
      <c r="O42" s="3">
        <f t="shared" si="2"/>
        <v>0.87849999999999995</v>
      </c>
      <c r="P42" s="2" cm="1">
        <f t="array" ref="P42">INDEX('Readability Avg Scores'!E:E,MATCH(1,('ACF Scores'!B42 = 'Readability Avg Scores'!A:A)*('ACF Scores'!D42='Readability Avg Scores'!C:C),0))</f>
        <v>12.745749999999999</v>
      </c>
      <c r="Q42" s="14"/>
    </row>
    <row r="43" spans="1:17" hidden="1" x14ac:dyDescent="0.2">
      <c r="A43" t="s">
        <v>166</v>
      </c>
      <c r="B43" t="s">
        <v>167</v>
      </c>
      <c r="C43" t="s">
        <v>80</v>
      </c>
      <c r="D43" t="s">
        <v>99</v>
      </c>
      <c r="E43" t="s">
        <v>100</v>
      </c>
      <c r="F43" t="s">
        <v>195</v>
      </c>
      <c r="G43">
        <v>1</v>
      </c>
      <c r="H43">
        <v>0.83499999999999996</v>
      </c>
      <c r="I43">
        <v>0.82899999999999996</v>
      </c>
      <c r="J43">
        <v>0.878</v>
      </c>
      <c r="K43">
        <v>0.85299999999999998</v>
      </c>
      <c r="L43" s="3">
        <f t="shared" si="1"/>
        <v>0.91749999999999998</v>
      </c>
      <c r="M43">
        <v>0.629</v>
      </c>
      <c r="N43">
        <v>1</v>
      </c>
      <c r="O43" s="3">
        <f t="shared" si="2"/>
        <v>0.84883333333333333</v>
      </c>
      <c r="P43" s="2" cm="1">
        <f t="array" ref="P43">INDEX('Readability Avg Scores'!E:E,MATCH(1,('ACF Scores'!B43 = 'Readability Avg Scores'!A:A)*('ACF Scores'!D43='Readability Avg Scores'!C:C),0))</f>
        <v>15.2877499999999</v>
      </c>
      <c r="Q43" s="14"/>
    </row>
    <row r="44" spans="1:17" hidden="1" x14ac:dyDescent="0.2">
      <c r="A44" t="s">
        <v>166</v>
      </c>
      <c r="B44" t="s">
        <v>167</v>
      </c>
      <c r="C44" t="s">
        <v>105</v>
      </c>
      <c r="D44" t="s">
        <v>118</v>
      </c>
      <c r="E44" t="s">
        <v>119</v>
      </c>
      <c r="F44" t="s">
        <v>201</v>
      </c>
      <c r="G44">
        <v>1</v>
      </c>
      <c r="H44">
        <v>0.90800000000000003</v>
      </c>
      <c r="I44">
        <v>0.86599999999999999</v>
      </c>
      <c r="J44">
        <v>0.93400000000000005</v>
      </c>
      <c r="K44">
        <v>0.89900000000000002</v>
      </c>
      <c r="L44" s="3">
        <f t="shared" si="1"/>
        <v>0.95399999999999996</v>
      </c>
      <c r="M44">
        <v>0.58699999999999997</v>
      </c>
      <c r="N44">
        <v>1</v>
      </c>
      <c r="O44" s="3">
        <f t="shared" si="2"/>
        <v>0.84699999999999998</v>
      </c>
      <c r="P44" s="2" cm="1">
        <f t="array" ref="P44">INDEX('Readability Avg Scores'!E:E,MATCH(1,('ACF Scores'!B44 = 'Readability Avg Scores'!A:A)*('ACF Scores'!D44='Readability Avg Scores'!C:C),0))</f>
        <v>16.508749999999999</v>
      </c>
      <c r="Q44" s="14"/>
    </row>
    <row r="45" spans="1:17" hidden="1" x14ac:dyDescent="0.2">
      <c r="A45" t="s">
        <v>166</v>
      </c>
      <c r="B45" t="s">
        <v>167</v>
      </c>
      <c r="C45" t="s">
        <v>33</v>
      </c>
      <c r="D45" t="s">
        <v>55</v>
      </c>
      <c r="E45" t="s">
        <v>56</v>
      </c>
      <c r="F45" t="s">
        <v>181</v>
      </c>
      <c r="G45">
        <v>0.5</v>
      </c>
      <c r="H45">
        <v>0.90700000000000003</v>
      </c>
      <c r="I45">
        <v>0.84199999999999997</v>
      </c>
      <c r="J45">
        <v>0.82599999999999996</v>
      </c>
      <c r="K45">
        <v>0.83399999999999996</v>
      </c>
      <c r="L45" s="3">
        <f t="shared" si="1"/>
        <v>0.70350000000000001</v>
      </c>
      <c r="M45">
        <v>0.79500000000000004</v>
      </c>
      <c r="N45">
        <v>1</v>
      </c>
      <c r="O45" s="3">
        <f t="shared" si="2"/>
        <v>0.83283333333333331</v>
      </c>
      <c r="P45" s="2" cm="1">
        <f t="array" ref="P45">INDEX('Readability Avg Scores'!E:E,MATCH(1,('ACF Scores'!B45 = 'Readability Avg Scores'!A:A)*('ACF Scores'!D45='Readability Avg Scores'!C:C),0))</f>
        <v>16.009</v>
      </c>
      <c r="Q45" s="14"/>
    </row>
    <row r="46" spans="1:17" hidden="1" x14ac:dyDescent="0.2">
      <c r="A46" t="s">
        <v>166</v>
      </c>
      <c r="B46" t="s">
        <v>167</v>
      </c>
      <c r="C46" t="s">
        <v>105</v>
      </c>
      <c r="D46" t="s">
        <v>112</v>
      </c>
      <c r="E46" t="s">
        <v>113</v>
      </c>
      <c r="F46" t="s">
        <v>199</v>
      </c>
      <c r="G46">
        <v>0.40500000000000003</v>
      </c>
      <c r="H46">
        <v>0.875</v>
      </c>
      <c r="I46">
        <v>0.88300000000000001</v>
      </c>
      <c r="J46">
        <v>0.88100000000000001</v>
      </c>
      <c r="K46">
        <v>0.88200000000000001</v>
      </c>
      <c r="L46" s="3">
        <f t="shared" si="1"/>
        <v>0.64</v>
      </c>
      <c r="M46">
        <v>0.83799999999999997</v>
      </c>
      <c r="N46">
        <v>1</v>
      </c>
      <c r="O46" s="3">
        <f t="shared" si="2"/>
        <v>0.82600000000000007</v>
      </c>
      <c r="P46" s="2" cm="1">
        <f t="array" ref="P46">INDEX('Readability Avg Scores'!E:E,MATCH(1,('ACF Scores'!B46 = 'Readability Avg Scores'!A:A)*('ACF Scores'!D46='Readability Avg Scores'!C:C),0))</f>
        <v>16.789000000000001</v>
      </c>
      <c r="Q46" s="14"/>
    </row>
    <row r="47" spans="1:17" hidden="1" x14ac:dyDescent="0.2">
      <c r="A47" t="s">
        <v>166</v>
      </c>
      <c r="B47" t="s">
        <v>167</v>
      </c>
      <c r="C47" t="s">
        <v>64</v>
      </c>
      <c r="D47" t="s">
        <v>77</v>
      </c>
      <c r="E47" t="s">
        <v>78</v>
      </c>
      <c r="F47" t="s">
        <v>188</v>
      </c>
      <c r="G47">
        <v>0.66700000000000004</v>
      </c>
      <c r="H47">
        <v>0.85199999999999998</v>
      </c>
      <c r="I47">
        <v>0.85299999999999998</v>
      </c>
      <c r="J47">
        <v>0.86299999999999999</v>
      </c>
      <c r="K47">
        <v>0.85799999999999998</v>
      </c>
      <c r="L47" s="3">
        <f t="shared" si="1"/>
        <v>0.75950000000000006</v>
      </c>
      <c r="M47">
        <v>0.71699999999999997</v>
      </c>
      <c r="N47">
        <v>1</v>
      </c>
      <c r="O47" s="3">
        <f t="shared" si="2"/>
        <v>0.82550000000000001</v>
      </c>
      <c r="P47" s="2" cm="1">
        <f t="array" ref="P47">INDEX('Readability Avg Scores'!E:E,MATCH(1,('ACF Scores'!B47 = 'Readability Avg Scores'!A:A)*('ACF Scores'!D47='Readability Avg Scores'!C:C),0))</f>
        <v>15.777749999999999</v>
      </c>
      <c r="Q47" s="14"/>
    </row>
    <row r="48" spans="1:17" hidden="1" x14ac:dyDescent="0.2">
      <c r="A48" t="s">
        <v>166</v>
      </c>
      <c r="B48" t="s">
        <v>167</v>
      </c>
      <c r="C48" t="s">
        <v>14</v>
      </c>
      <c r="D48" t="s">
        <v>27</v>
      </c>
      <c r="E48" t="s">
        <v>28</v>
      </c>
      <c r="F48" t="s">
        <v>172</v>
      </c>
      <c r="G48">
        <v>0.64400000000000002</v>
      </c>
      <c r="H48">
        <v>0.871</v>
      </c>
      <c r="I48">
        <v>0.83499999999999996</v>
      </c>
      <c r="J48">
        <v>0.88400000000000001</v>
      </c>
      <c r="K48">
        <v>0.85899999999999999</v>
      </c>
      <c r="L48" s="3">
        <f t="shared" si="1"/>
        <v>0.75750000000000006</v>
      </c>
      <c r="M48">
        <v>0.69699999999999995</v>
      </c>
      <c r="N48">
        <v>1</v>
      </c>
      <c r="O48" s="3">
        <f t="shared" si="2"/>
        <v>0.81816666666666682</v>
      </c>
      <c r="P48" s="2" cm="1">
        <f t="array" ref="P48">INDEX('Readability Avg Scores'!E:E,MATCH(1,('ACF Scores'!B48 = 'Readability Avg Scores'!A:A)*('ACF Scores'!D48='Readability Avg Scores'!C:C),0))</f>
        <v>18.791249999999899</v>
      </c>
      <c r="Q48" s="14"/>
    </row>
    <row r="49" spans="1:17" hidden="1" x14ac:dyDescent="0.2">
      <c r="A49" t="s">
        <v>166</v>
      </c>
      <c r="B49" t="s">
        <v>167</v>
      </c>
      <c r="C49" t="s">
        <v>80</v>
      </c>
      <c r="D49" t="s">
        <v>81</v>
      </c>
      <c r="E49" t="s">
        <v>82</v>
      </c>
      <c r="F49" t="s">
        <v>189</v>
      </c>
      <c r="G49">
        <v>1</v>
      </c>
      <c r="H49">
        <v>0.89800000000000002</v>
      </c>
      <c r="I49">
        <v>0.83399999999999996</v>
      </c>
      <c r="J49">
        <v>0.88400000000000001</v>
      </c>
      <c r="K49">
        <v>0.85899999999999999</v>
      </c>
      <c r="L49" s="3">
        <f t="shared" si="1"/>
        <v>0.94900000000000007</v>
      </c>
      <c r="M49">
        <v>0.503</v>
      </c>
      <c r="N49">
        <v>1</v>
      </c>
      <c r="O49" s="3">
        <f t="shared" si="2"/>
        <v>0.81733333333333336</v>
      </c>
      <c r="P49" s="2" cm="1">
        <f t="array" ref="P49">INDEX('Readability Avg Scores'!E:E,MATCH(1,('ACF Scores'!B49 = 'Readability Avg Scores'!A:A)*('ACF Scores'!D49='Readability Avg Scores'!C:C),0))</f>
        <v>14.681749999999999</v>
      </c>
      <c r="Q49" s="14"/>
    </row>
    <row r="50" spans="1:17" hidden="1" x14ac:dyDescent="0.2">
      <c r="A50" t="s">
        <v>166</v>
      </c>
      <c r="B50" t="s">
        <v>167</v>
      </c>
      <c r="C50" t="s">
        <v>80</v>
      </c>
      <c r="D50" t="s">
        <v>84</v>
      </c>
      <c r="E50" t="s">
        <v>85</v>
      </c>
      <c r="F50" t="s">
        <v>190</v>
      </c>
      <c r="G50">
        <v>0.6</v>
      </c>
      <c r="H50">
        <v>0.81399999999999995</v>
      </c>
      <c r="I50">
        <v>0.86</v>
      </c>
      <c r="J50">
        <v>0.877</v>
      </c>
      <c r="K50">
        <v>0.86799999999999999</v>
      </c>
      <c r="L50" s="3">
        <f t="shared" si="1"/>
        <v>0.70699999999999996</v>
      </c>
      <c r="M50">
        <v>0.73799999999999999</v>
      </c>
      <c r="N50">
        <v>1</v>
      </c>
      <c r="O50" s="3">
        <f t="shared" si="2"/>
        <v>0.81499999999999995</v>
      </c>
      <c r="P50" s="2" cm="1">
        <f t="array" ref="P50">INDEX('Readability Avg Scores'!E:E,MATCH(1,('ACF Scores'!B50 = 'Readability Avg Scores'!A:A)*('ACF Scores'!D50='Readability Avg Scores'!C:C),0))</f>
        <v>18.935499999999902</v>
      </c>
      <c r="Q50" s="14"/>
    </row>
    <row r="51" spans="1:17" hidden="1" x14ac:dyDescent="0.2">
      <c r="A51" t="s">
        <v>166</v>
      </c>
      <c r="B51" t="s">
        <v>167</v>
      </c>
      <c r="C51" t="s">
        <v>64</v>
      </c>
      <c r="D51" t="s">
        <v>68</v>
      </c>
      <c r="E51" t="s">
        <v>69</v>
      </c>
      <c r="F51" t="s">
        <v>185</v>
      </c>
      <c r="G51">
        <v>1</v>
      </c>
      <c r="H51">
        <v>0.84899999999999998</v>
      </c>
      <c r="I51">
        <v>0.83199999999999996</v>
      </c>
      <c r="J51">
        <v>0.90500000000000003</v>
      </c>
      <c r="K51">
        <v>0.86699999999999999</v>
      </c>
      <c r="L51" s="3">
        <f t="shared" si="1"/>
        <v>0.92449999999999999</v>
      </c>
      <c r="M51">
        <v>0.51300000000000001</v>
      </c>
      <c r="N51">
        <v>1</v>
      </c>
      <c r="O51" s="3">
        <f t="shared" si="2"/>
        <v>0.8125</v>
      </c>
      <c r="P51" s="2" cm="1">
        <f t="array" ref="P51">INDEX('Readability Avg Scores'!E:E,MATCH(1,('ACF Scores'!B51 = 'Readability Avg Scores'!A:A)*('ACF Scores'!D51='Readability Avg Scores'!C:C),0))</f>
        <v>14.17775</v>
      </c>
      <c r="Q51" s="14"/>
    </row>
    <row r="52" spans="1:17" hidden="1" x14ac:dyDescent="0.2">
      <c r="A52" t="s">
        <v>166</v>
      </c>
      <c r="B52" t="s">
        <v>167</v>
      </c>
      <c r="C52" t="s">
        <v>33</v>
      </c>
      <c r="D52" t="s">
        <v>49</v>
      </c>
      <c r="E52" t="s">
        <v>50</v>
      </c>
      <c r="F52" t="s">
        <v>179</v>
      </c>
      <c r="G52">
        <v>0.66700000000000004</v>
      </c>
      <c r="H52">
        <v>0.85699999999999998</v>
      </c>
      <c r="I52">
        <v>0.86299999999999999</v>
      </c>
      <c r="J52">
        <v>0.87</v>
      </c>
      <c r="K52">
        <v>0.86599999999999999</v>
      </c>
      <c r="L52" s="3">
        <f t="shared" si="1"/>
        <v>0.76200000000000001</v>
      </c>
      <c r="M52">
        <v>0.60099999999999998</v>
      </c>
      <c r="N52">
        <v>1</v>
      </c>
      <c r="O52" s="3">
        <f t="shared" si="2"/>
        <v>0.78766666666666663</v>
      </c>
      <c r="P52" s="2" cm="1">
        <f t="array" ref="P52">INDEX('Readability Avg Scores'!E:E,MATCH(1,('ACF Scores'!B52 = 'Readability Avg Scores'!A:A)*('ACF Scores'!D52='Readability Avg Scores'!C:C),0))</f>
        <v>15.85425</v>
      </c>
      <c r="Q52" s="14"/>
    </row>
    <row r="53" spans="1:17" x14ac:dyDescent="0.2">
      <c r="A53" t="s">
        <v>166</v>
      </c>
      <c r="B53" t="s">
        <v>167</v>
      </c>
      <c r="C53" t="s">
        <v>33</v>
      </c>
      <c r="D53" t="s">
        <v>58</v>
      </c>
      <c r="E53" t="s">
        <v>59</v>
      </c>
      <c r="F53" t="s">
        <v>182</v>
      </c>
      <c r="G53">
        <v>0.625</v>
      </c>
      <c r="H53">
        <v>0.84599999999999997</v>
      </c>
      <c r="I53">
        <v>0.86899999999999999</v>
      </c>
      <c r="J53">
        <v>0.85399999999999998</v>
      </c>
      <c r="K53">
        <v>0.86099999999999999</v>
      </c>
      <c r="L53" s="3">
        <f t="shared" si="1"/>
        <v>0.73550000000000004</v>
      </c>
      <c r="M53">
        <v>0.60799999999999998</v>
      </c>
      <c r="N53">
        <v>1</v>
      </c>
      <c r="O53" s="3">
        <f t="shared" si="2"/>
        <v>0.78116666666666668</v>
      </c>
      <c r="P53" s="2" cm="1">
        <f t="array" ref="P53">INDEX('Readability Avg Scores'!E:E,MATCH(1,('ACF Scores'!B53 = 'Readability Avg Scores'!A:A)*('ACF Scores'!D53='Readability Avg Scores'!C:C),0))</f>
        <v>19.115749999999998</v>
      </c>
      <c r="Q53" s="14"/>
    </row>
    <row r="54" spans="1:17" hidden="1" x14ac:dyDescent="0.2">
      <c r="A54" t="s">
        <v>166</v>
      </c>
      <c r="B54" t="s">
        <v>167</v>
      </c>
      <c r="C54" t="s">
        <v>80</v>
      </c>
      <c r="D54" t="s">
        <v>102</v>
      </c>
      <c r="E54" t="s">
        <v>103</v>
      </c>
      <c r="F54" t="s">
        <v>196</v>
      </c>
      <c r="G54">
        <v>0.33300000000000002</v>
      </c>
      <c r="H54">
        <v>0.86299999999999999</v>
      </c>
      <c r="I54">
        <v>0.85299999999999998</v>
      </c>
      <c r="J54">
        <v>0.86299999999999999</v>
      </c>
      <c r="K54">
        <v>0.85799999999999998</v>
      </c>
      <c r="L54" s="3">
        <f t="shared" si="1"/>
        <v>0.59799999999999998</v>
      </c>
      <c r="M54">
        <v>0.72899999999999998</v>
      </c>
      <c r="N54">
        <v>1</v>
      </c>
      <c r="O54" s="3">
        <f t="shared" si="2"/>
        <v>0.77566666666666662</v>
      </c>
      <c r="P54" s="2" cm="1">
        <f t="array" ref="P54">INDEX('Readability Avg Scores'!E:E,MATCH(1,('ACF Scores'!B54 = 'Readability Avg Scores'!A:A)*('ACF Scores'!D54='Readability Avg Scores'!C:C),0))</f>
        <v>15.117999999999901</v>
      </c>
      <c r="Q54" s="14"/>
    </row>
    <row r="55" spans="1:17" hidden="1" x14ac:dyDescent="0.2">
      <c r="A55" t="s">
        <v>166</v>
      </c>
      <c r="B55" t="s">
        <v>167</v>
      </c>
      <c r="C55" t="s">
        <v>121</v>
      </c>
      <c r="D55" t="s">
        <v>122</v>
      </c>
      <c r="E55" t="s">
        <v>123</v>
      </c>
      <c r="F55" t="s">
        <v>202</v>
      </c>
      <c r="G55">
        <v>0.7</v>
      </c>
      <c r="H55">
        <v>0.84799999999999998</v>
      </c>
      <c r="I55">
        <v>0.83399999999999996</v>
      </c>
      <c r="J55">
        <v>0.876</v>
      </c>
      <c r="K55">
        <v>0.85499999999999998</v>
      </c>
      <c r="L55" s="3">
        <f t="shared" si="1"/>
        <v>0.77400000000000002</v>
      </c>
      <c r="M55">
        <v>0.54200000000000004</v>
      </c>
      <c r="N55">
        <v>1</v>
      </c>
      <c r="O55" s="3">
        <f t="shared" si="2"/>
        <v>0.77199999999999991</v>
      </c>
      <c r="P55" s="2" cm="1">
        <f t="array" ref="P55">INDEX('Readability Avg Scores'!E:E,MATCH(1,('ACF Scores'!B55 = 'Readability Avg Scores'!A:A)*('ACF Scores'!D55='Readability Avg Scores'!C:C),0))</f>
        <v>22.345500000000001</v>
      </c>
      <c r="Q55" s="14"/>
    </row>
    <row r="56" spans="1:17" hidden="1" x14ac:dyDescent="0.2">
      <c r="A56" t="s">
        <v>166</v>
      </c>
      <c r="B56" t="s">
        <v>167</v>
      </c>
      <c r="C56" t="s">
        <v>14</v>
      </c>
      <c r="D56" t="s">
        <v>30</v>
      </c>
      <c r="E56" t="s">
        <v>31</v>
      </c>
      <c r="F56" t="s">
        <v>173</v>
      </c>
      <c r="G56">
        <v>0.4</v>
      </c>
      <c r="H56">
        <v>0.83499999999999996</v>
      </c>
      <c r="I56">
        <v>0.83799999999999997</v>
      </c>
      <c r="J56">
        <v>0.877</v>
      </c>
      <c r="K56">
        <v>0.85699999999999998</v>
      </c>
      <c r="L56" s="3">
        <f t="shared" si="1"/>
        <v>0.61749999999999994</v>
      </c>
      <c r="M56">
        <v>0.67600000000000005</v>
      </c>
      <c r="N56">
        <v>1</v>
      </c>
      <c r="O56" s="3">
        <f t="shared" si="2"/>
        <v>0.76449999999999996</v>
      </c>
      <c r="P56" s="2" cm="1">
        <f t="array" ref="P56">INDEX('Readability Avg Scores'!E:E,MATCH(1,('ACF Scores'!B56 = 'Readability Avg Scores'!A:A)*('ACF Scores'!D56='Readability Avg Scores'!C:C),0))</f>
        <v>18.265000000000001</v>
      </c>
      <c r="Q56" s="14"/>
    </row>
    <row r="57" spans="1:17" hidden="1" x14ac:dyDescent="0.2">
      <c r="A57" t="s">
        <v>166</v>
      </c>
      <c r="B57" t="s">
        <v>167</v>
      </c>
      <c r="C57" t="s">
        <v>33</v>
      </c>
      <c r="D57" t="s">
        <v>46</v>
      </c>
      <c r="E57" t="s">
        <v>47</v>
      </c>
      <c r="F57" t="s">
        <v>178</v>
      </c>
      <c r="G57">
        <v>0.25</v>
      </c>
      <c r="H57">
        <v>0.85699999999999998</v>
      </c>
      <c r="I57">
        <v>0.86499999999999999</v>
      </c>
      <c r="J57">
        <v>0.88400000000000001</v>
      </c>
      <c r="K57">
        <v>0.874</v>
      </c>
      <c r="L57" s="3">
        <f t="shared" si="1"/>
        <v>0.55349999999999999</v>
      </c>
      <c r="M57">
        <v>0.68</v>
      </c>
      <c r="N57">
        <v>1</v>
      </c>
      <c r="O57" s="3">
        <f t="shared" si="2"/>
        <v>0.74450000000000005</v>
      </c>
      <c r="P57" s="2" cm="1">
        <f t="array" ref="P57">INDEX('Readability Avg Scores'!E:E,MATCH(1,('ACF Scores'!B57 = 'Readability Avg Scores'!A:A)*('ACF Scores'!D57='Readability Avg Scores'!C:C),0))</f>
        <v>17.0105</v>
      </c>
      <c r="Q57" s="14"/>
    </row>
    <row r="58" spans="1:17" hidden="1" x14ac:dyDescent="0.2">
      <c r="A58" t="s">
        <v>166</v>
      </c>
      <c r="B58" t="s">
        <v>167</v>
      </c>
      <c r="C58" t="s">
        <v>33</v>
      </c>
      <c r="D58" t="s">
        <v>43</v>
      </c>
      <c r="E58" t="s">
        <v>44</v>
      </c>
      <c r="F58" t="s">
        <v>177</v>
      </c>
      <c r="G58">
        <v>0.5</v>
      </c>
      <c r="H58">
        <v>0.86399999999999999</v>
      </c>
      <c r="I58">
        <v>0.86299999999999999</v>
      </c>
      <c r="J58">
        <v>0.85299999999999998</v>
      </c>
      <c r="K58">
        <v>0.85799999999999998</v>
      </c>
      <c r="L58" s="3">
        <f t="shared" si="1"/>
        <v>0.68199999999999994</v>
      </c>
      <c r="M58">
        <v>0.53900000000000003</v>
      </c>
      <c r="N58">
        <v>1</v>
      </c>
      <c r="O58" s="3">
        <f t="shared" si="2"/>
        <v>0.7403333333333334</v>
      </c>
      <c r="P58" s="2" cm="1">
        <f t="array" ref="P58">INDEX('Readability Avg Scores'!E:E,MATCH(1,('ACF Scores'!B58 = 'Readability Avg Scores'!A:A)*('ACF Scores'!D58='Readability Avg Scores'!C:C),0))</f>
        <v>17.789000000000001</v>
      </c>
      <c r="Q58" s="14"/>
    </row>
    <row r="59" spans="1:17" hidden="1" x14ac:dyDescent="0.2">
      <c r="A59" t="s">
        <v>166</v>
      </c>
      <c r="B59" t="s">
        <v>167</v>
      </c>
      <c r="C59" t="s">
        <v>105</v>
      </c>
      <c r="D59" t="s">
        <v>106</v>
      </c>
      <c r="E59" t="s">
        <v>107</v>
      </c>
      <c r="F59" t="s">
        <v>197</v>
      </c>
      <c r="G59">
        <v>0.6</v>
      </c>
      <c r="H59">
        <v>0.86899999999999999</v>
      </c>
      <c r="I59">
        <v>0.85699999999999998</v>
      </c>
      <c r="J59">
        <v>0.872</v>
      </c>
      <c r="K59">
        <v>0.86399999999999999</v>
      </c>
      <c r="L59" s="3">
        <f t="shared" si="1"/>
        <v>0.73449999999999993</v>
      </c>
      <c r="M59">
        <v>0.47299999999999998</v>
      </c>
      <c r="N59">
        <v>1</v>
      </c>
      <c r="O59" s="3">
        <f t="shared" si="2"/>
        <v>0.73583333333333323</v>
      </c>
      <c r="P59" s="2" cm="1">
        <f t="array" ref="P59">INDEX('Readability Avg Scores'!E:E,MATCH(1,('ACF Scores'!B59 = 'Readability Avg Scores'!A:A)*('ACF Scores'!D59='Readability Avg Scores'!C:C),0))</f>
        <v>12.597</v>
      </c>
      <c r="Q59" s="14"/>
    </row>
    <row r="60" spans="1:17" hidden="1" x14ac:dyDescent="0.2">
      <c r="A60" t="s">
        <v>166</v>
      </c>
      <c r="B60" t="s">
        <v>167</v>
      </c>
      <c r="C60" t="s">
        <v>64</v>
      </c>
      <c r="D60" t="s">
        <v>74</v>
      </c>
      <c r="E60" t="s">
        <v>75</v>
      </c>
      <c r="F60" t="s">
        <v>187</v>
      </c>
      <c r="G60">
        <v>0.38900000000000001</v>
      </c>
      <c r="H60">
        <v>0.84799999999999998</v>
      </c>
      <c r="I60">
        <v>0.83199999999999996</v>
      </c>
      <c r="J60">
        <v>0.86</v>
      </c>
      <c r="K60">
        <v>0.84599999999999997</v>
      </c>
      <c r="L60" s="3">
        <f t="shared" si="1"/>
        <v>0.61850000000000005</v>
      </c>
      <c r="M60">
        <v>0.54800000000000004</v>
      </c>
      <c r="N60">
        <v>1</v>
      </c>
      <c r="O60" s="3">
        <f t="shared" si="2"/>
        <v>0.72216666666666673</v>
      </c>
      <c r="P60" s="2" cm="1">
        <f t="array" ref="P60">INDEX('Readability Avg Scores'!E:E,MATCH(1,('ACF Scores'!B60 = 'Readability Avg Scores'!A:A)*('ACF Scores'!D60='Readability Avg Scores'!C:C),0))</f>
        <v>17.496749999999999</v>
      </c>
      <c r="Q60" s="14"/>
    </row>
    <row r="61" spans="1:17" hidden="1" x14ac:dyDescent="0.2">
      <c r="A61" t="s">
        <v>166</v>
      </c>
      <c r="B61" t="s">
        <v>167</v>
      </c>
      <c r="C61" t="s">
        <v>105</v>
      </c>
      <c r="D61" t="s">
        <v>115</v>
      </c>
      <c r="E61" t="s">
        <v>116</v>
      </c>
      <c r="F61" t="s">
        <v>200</v>
      </c>
      <c r="G61">
        <v>0.5</v>
      </c>
      <c r="H61">
        <v>0.82699999999999996</v>
      </c>
      <c r="I61">
        <v>0.85</v>
      </c>
      <c r="J61">
        <v>0.874</v>
      </c>
      <c r="K61">
        <v>0.86199999999999999</v>
      </c>
      <c r="L61" s="3">
        <f t="shared" si="1"/>
        <v>0.66349999999999998</v>
      </c>
      <c r="M61">
        <v>0.40699999999999997</v>
      </c>
      <c r="N61">
        <v>1</v>
      </c>
      <c r="O61" s="3">
        <f t="shared" si="2"/>
        <v>0.69016666666666671</v>
      </c>
      <c r="P61" s="2" cm="1">
        <f t="array" ref="P61">INDEX('Readability Avg Scores'!E:E,MATCH(1,('ACF Scores'!B61 = 'Readability Avg Scores'!A:A)*('ACF Scores'!D61='Readability Avg Scores'!C:C),0))</f>
        <v>17.940750000000001</v>
      </c>
      <c r="Q61" s="14"/>
    </row>
    <row r="62" spans="1:17" hidden="1" x14ac:dyDescent="0.2">
      <c r="A62" t="s">
        <v>166</v>
      </c>
      <c r="B62" t="s">
        <v>167</v>
      </c>
      <c r="C62" t="s">
        <v>80</v>
      </c>
      <c r="D62" t="s">
        <v>93</v>
      </c>
      <c r="E62" t="s">
        <v>94</v>
      </c>
      <c r="F62" t="s">
        <v>193</v>
      </c>
      <c r="G62">
        <v>0.2</v>
      </c>
      <c r="H62">
        <v>0.86599999999999999</v>
      </c>
      <c r="I62">
        <v>0.83799999999999997</v>
      </c>
      <c r="J62">
        <v>0.82399999999999995</v>
      </c>
      <c r="K62">
        <v>0.83099999999999996</v>
      </c>
      <c r="L62" s="3">
        <f t="shared" si="1"/>
        <v>0.53300000000000003</v>
      </c>
      <c r="M62">
        <v>0.44900000000000001</v>
      </c>
      <c r="N62">
        <v>1</v>
      </c>
      <c r="O62" s="3">
        <f t="shared" si="2"/>
        <v>0.66066666666666674</v>
      </c>
      <c r="P62" s="2" cm="1">
        <f t="array" ref="P62">INDEX('Readability Avg Scores'!E:E,MATCH(1,('ACF Scores'!B62 = 'Readability Avg Scores'!A:A)*('ACF Scores'!D62='Readability Avg Scores'!C:C),0))</f>
        <v>16.611999999999998</v>
      </c>
      <c r="Q62" s="14"/>
    </row>
    <row r="63" spans="1:17" hidden="1" x14ac:dyDescent="0.2">
      <c r="A63" t="s">
        <v>166</v>
      </c>
      <c r="B63" t="s">
        <v>167</v>
      </c>
      <c r="C63" t="s">
        <v>33</v>
      </c>
      <c r="D63" t="s">
        <v>52</v>
      </c>
      <c r="E63" t="s">
        <v>53</v>
      </c>
      <c r="F63" t="s">
        <v>180</v>
      </c>
      <c r="G63">
        <v>0</v>
      </c>
      <c r="H63">
        <v>0.78500000000000003</v>
      </c>
      <c r="I63">
        <v>0.89600000000000002</v>
      </c>
      <c r="J63">
        <v>0.83199999999999996</v>
      </c>
      <c r="K63">
        <v>0.86299999999999999</v>
      </c>
      <c r="L63" s="3">
        <f t="shared" si="1"/>
        <v>0.39250000000000002</v>
      </c>
      <c r="M63">
        <v>0.55700000000000005</v>
      </c>
      <c r="N63">
        <v>1</v>
      </c>
      <c r="O63" s="3">
        <f t="shared" si="2"/>
        <v>0.64983333333333337</v>
      </c>
      <c r="P63" s="2" cm="1">
        <f t="array" ref="P63">INDEX('Readability Avg Scores'!E:E,MATCH(1,('ACF Scores'!B63 = 'Readability Avg Scores'!A:A)*('ACF Scores'!D63='Readability Avg Scores'!C:C),0))</f>
        <v>15.118</v>
      </c>
      <c r="Q63" s="14"/>
    </row>
    <row r="64" spans="1:17" hidden="1" x14ac:dyDescent="0.2">
      <c r="A64" t="s">
        <v>128</v>
      </c>
      <c r="B64" t="s">
        <v>129</v>
      </c>
      <c r="C64" t="s">
        <v>14</v>
      </c>
      <c r="D64" t="s">
        <v>27</v>
      </c>
      <c r="E64" t="s">
        <v>28</v>
      </c>
      <c r="F64" t="s">
        <v>134</v>
      </c>
      <c r="G64">
        <v>0.111</v>
      </c>
      <c r="H64">
        <v>0.85899999999999999</v>
      </c>
      <c r="I64">
        <v>0.85699999999999998</v>
      </c>
      <c r="J64">
        <v>0.85299999999999998</v>
      </c>
      <c r="K64">
        <v>0.85499999999999998</v>
      </c>
      <c r="L64" s="3">
        <f t="shared" si="1"/>
        <v>0.48499999999999999</v>
      </c>
      <c r="M64">
        <v>0.58199999999999996</v>
      </c>
      <c r="N64">
        <v>0.5</v>
      </c>
      <c r="O64" s="3">
        <f t="shared" si="2"/>
        <v>0.52233333333333321</v>
      </c>
      <c r="P64" s="2" cm="1">
        <f t="array" ref="P64">INDEX('Readability Avg Scores'!E:E,MATCH(1,('ACF Scores'!B64 = 'Readability Avg Scores'!A:A)*('ACF Scores'!D64='Readability Avg Scores'!C:C),0))</f>
        <v>14.734</v>
      </c>
      <c r="Q64" s="14"/>
    </row>
    <row r="65" spans="1:17" hidden="1" x14ac:dyDescent="0.2">
      <c r="A65" t="s">
        <v>128</v>
      </c>
      <c r="B65" t="s">
        <v>129</v>
      </c>
      <c r="C65" t="s">
        <v>80</v>
      </c>
      <c r="D65" t="s">
        <v>90</v>
      </c>
      <c r="E65" t="s">
        <v>91</v>
      </c>
      <c r="F65" t="s">
        <v>154</v>
      </c>
      <c r="G65">
        <v>8.3000000000000004E-2</v>
      </c>
      <c r="H65">
        <v>0.84099999999999997</v>
      </c>
      <c r="I65">
        <v>0.83699999999999997</v>
      </c>
      <c r="J65">
        <v>0.83799999999999997</v>
      </c>
      <c r="K65">
        <v>0.83699999999999997</v>
      </c>
      <c r="L65" s="3">
        <f t="shared" si="1"/>
        <v>0.46199999999999997</v>
      </c>
      <c r="M65">
        <v>0.39</v>
      </c>
      <c r="N65">
        <v>0.5</v>
      </c>
      <c r="O65" s="3">
        <f t="shared" si="2"/>
        <v>0.4506666666666666</v>
      </c>
      <c r="P65" s="2" cm="1">
        <f t="array" ref="P65">INDEX('Readability Avg Scores'!E:E,MATCH(1,('ACF Scores'!B65 = 'Readability Avg Scores'!A:A)*('ACF Scores'!D65='Readability Avg Scores'!C:C),0))</f>
        <v>14.971500000000001</v>
      </c>
      <c r="Q65" s="14"/>
    </row>
    <row r="66" spans="1:17" hidden="1" x14ac:dyDescent="0.2">
      <c r="A66" t="s">
        <v>128</v>
      </c>
      <c r="B66" t="s">
        <v>129</v>
      </c>
      <c r="C66" t="s">
        <v>80</v>
      </c>
      <c r="D66" t="s">
        <v>93</v>
      </c>
      <c r="E66" t="s">
        <v>94</v>
      </c>
      <c r="F66" t="s">
        <v>155</v>
      </c>
      <c r="G66">
        <v>0</v>
      </c>
      <c r="H66">
        <v>0.84299999999999997</v>
      </c>
      <c r="I66">
        <v>0.82599999999999996</v>
      </c>
      <c r="J66">
        <v>0.80800000000000005</v>
      </c>
      <c r="K66">
        <v>0.81699999999999995</v>
      </c>
      <c r="L66" s="3">
        <f t="shared" si="1"/>
        <v>0.42149999999999999</v>
      </c>
      <c r="M66">
        <v>0.22700000000000001</v>
      </c>
      <c r="N66">
        <v>0.5</v>
      </c>
      <c r="O66" s="3">
        <f t="shared" ref="O66:O97" si="3">(N66+M66+(G66+H66)/2)/3</f>
        <v>0.3828333333333333</v>
      </c>
      <c r="P66" s="2" cm="1">
        <f t="array" ref="P66">INDEX('Readability Avg Scores'!E:E,MATCH(1,('ACF Scores'!B66 = 'Readability Avg Scores'!A:A)*('ACF Scores'!D66='Readability Avg Scores'!C:C),0))</f>
        <v>14.186999999999999</v>
      </c>
      <c r="Q66" s="14"/>
    </row>
    <row r="67" spans="1:17" hidden="1" x14ac:dyDescent="0.2">
      <c r="A67" t="s">
        <v>166</v>
      </c>
      <c r="B67" t="s">
        <v>167</v>
      </c>
      <c r="C67" t="s">
        <v>64</v>
      </c>
      <c r="D67" t="s">
        <v>65</v>
      </c>
      <c r="E67" t="s">
        <v>66</v>
      </c>
      <c r="F67" t="s">
        <v>184</v>
      </c>
      <c r="G67">
        <v>0.46700000000000003</v>
      </c>
      <c r="H67">
        <v>0.86899999999999999</v>
      </c>
      <c r="I67">
        <v>0.85499999999999998</v>
      </c>
      <c r="J67">
        <v>0.871</v>
      </c>
      <c r="K67">
        <v>0.86299999999999999</v>
      </c>
      <c r="L67" s="3">
        <f t="shared" ref="L67:L109" si="4">(G67+H67)/2</f>
        <v>0.66800000000000004</v>
      </c>
      <c r="M67">
        <v>0.57699999999999996</v>
      </c>
      <c r="N67">
        <v>0.5</v>
      </c>
      <c r="O67" s="3">
        <f t="shared" si="3"/>
        <v>0.58166666666666667</v>
      </c>
      <c r="P67" s="2" cm="1">
        <f t="array" ref="P67">INDEX('Readability Avg Scores'!E:E,MATCH(1,('ACF Scores'!B67 = 'Readability Avg Scores'!A:A)*('ACF Scores'!D67='Readability Avg Scores'!C:C),0))</f>
        <v>13.267749999999999</v>
      </c>
      <c r="Q67" s="14"/>
    </row>
    <row r="68" spans="1:17" hidden="1" x14ac:dyDescent="0.2">
      <c r="A68" t="s">
        <v>166</v>
      </c>
      <c r="B68" t="s">
        <v>167</v>
      </c>
      <c r="C68" t="s">
        <v>33</v>
      </c>
      <c r="D68" t="s">
        <v>40</v>
      </c>
      <c r="E68" t="s">
        <v>41</v>
      </c>
      <c r="F68" t="s">
        <v>176</v>
      </c>
      <c r="G68">
        <v>0</v>
      </c>
      <c r="H68">
        <v>0.84199999999999997</v>
      </c>
      <c r="I68">
        <v>0.85299999999999998</v>
      </c>
      <c r="J68">
        <v>0.83899999999999997</v>
      </c>
      <c r="K68">
        <v>0.84599999999999997</v>
      </c>
      <c r="L68" s="3">
        <f t="shared" si="4"/>
        <v>0.42099999999999999</v>
      </c>
      <c r="M68">
        <v>0.69</v>
      </c>
      <c r="N68">
        <v>0.5</v>
      </c>
      <c r="O68" s="3">
        <f t="shared" si="3"/>
        <v>0.53700000000000003</v>
      </c>
      <c r="P68" s="2" cm="1">
        <f t="array" ref="P68">INDEX('Readability Avg Scores'!E:E,MATCH(1,('ACF Scores'!B68 = 'Readability Avg Scores'!A:A)*('ACF Scores'!D68='Readability Avg Scores'!C:C),0))</f>
        <v>16.094749999999902</v>
      </c>
      <c r="Q68" s="14"/>
    </row>
    <row r="69" spans="1:17" hidden="1" x14ac:dyDescent="0.2">
      <c r="A69" t="s">
        <v>166</v>
      </c>
      <c r="B69" t="s">
        <v>167</v>
      </c>
      <c r="C69" t="s">
        <v>64</v>
      </c>
      <c r="D69" t="s">
        <v>71</v>
      </c>
      <c r="E69" t="s">
        <v>72</v>
      </c>
      <c r="F69" t="s">
        <v>186</v>
      </c>
      <c r="G69">
        <v>0.27800000000000002</v>
      </c>
      <c r="H69">
        <v>0.82899999999999996</v>
      </c>
      <c r="I69">
        <v>0.84</v>
      </c>
      <c r="J69">
        <v>0.84699999999999998</v>
      </c>
      <c r="K69">
        <v>0.84399999999999997</v>
      </c>
      <c r="L69" s="3">
        <f t="shared" si="4"/>
        <v>0.55349999999999999</v>
      </c>
      <c r="M69">
        <v>0.49199999999999999</v>
      </c>
      <c r="N69">
        <v>0.5</v>
      </c>
      <c r="O69" s="3">
        <f t="shared" si="3"/>
        <v>0.51516666666666666</v>
      </c>
      <c r="P69" s="2" cm="1">
        <f t="array" ref="P69">INDEX('Readability Avg Scores'!E:E,MATCH(1,('ACF Scores'!B69 = 'Readability Avg Scores'!A:A)*('ACF Scores'!D69='Readability Avg Scores'!C:C),0))</f>
        <v>16.220749999999999</v>
      </c>
      <c r="Q69" s="14"/>
    </row>
    <row r="70" spans="1:17" hidden="1" x14ac:dyDescent="0.2">
      <c r="A70" t="s">
        <v>166</v>
      </c>
      <c r="B70" t="s">
        <v>167</v>
      </c>
      <c r="C70" t="s">
        <v>33</v>
      </c>
      <c r="D70" t="s">
        <v>37</v>
      </c>
      <c r="E70" t="s">
        <v>38</v>
      </c>
      <c r="F70" t="s">
        <v>175</v>
      </c>
      <c r="G70">
        <v>0.13900000000000001</v>
      </c>
      <c r="H70">
        <v>0.84199999999999997</v>
      </c>
      <c r="I70">
        <v>0.86</v>
      </c>
      <c r="J70">
        <v>0.83299999999999996</v>
      </c>
      <c r="K70">
        <v>0.84599999999999997</v>
      </c>
      <c r="L70" s="3">
        <f t="shared" si="4"/>
        <v>0.49049999999999999</v>
      </c>
      <c r="M70">
        <v>0.51400000000000001</v>
      </c>
      <c r="N70">
        <v>0.5</v>
      </c>
      <c r="O70" s="3">
        <f t="shared" si="3"/>
        <v>0.50149999999999995</v>
      </c>
      <c r="P70" s="2" cm="1">
        <f t="array" ref="P70">INDEX('Readability Avg Scores'!E:E,MATCH(1,('ACF Scores'!B70 = 'Readability Avg Scores'!A:A)*('ACF Scores'!D70='Readability Avg Scores'!C:C),0))</f>
        <v>12.303750000000001</v>
      </c>
      <c r="Q70" s="14"/>
    </row>
    <row r="71" spans="1:17" hidden="1" x14ac:dyDescent="0.2">
      <c r="A71" t="s">
        <v>166</v>
      </c>
      <c r="B71" t="s">
        <v>167</v>
      </c>
      <c r="C71" t="s">
        <v>121</v>
      </c>
      <c r="D71" t="s">
        <v>125</v>
      </c>
      <c r="E71" t="s">
        <v>126</v>
      </c>
      <c r="F71" t="s">
        <v>203</v>
      </c>
      <c r="G71">
        <v>0.25</v>
      </c>
      <c r="H71">
        <v>0.84499999999999997</v>
      </c>
      <c r="I71">
        <v>0.83199999999999996</v>
      </c>
      <c r="J71">
        <v>0.86899999999999999</v>
      </c>
      <c r="K71">
        <v>0.85</v>
      </c>
      <c r="L71" s="3">
        <f t="shared" si="4"/>
        <v>0.54749999999999999</v>
      </c>
      <c r="M71">
        <v>0.42499999999999999</v>
      </c>
      <c r="N71">
        <v>0.5</v>
      </c>
      <c r="O71" s="3">
        <f t="shared" si="3"/>
        <v>0.4908333333333334</v>
      </c>
      <c r="P71" s="2" cm="1">
        <f t="array" ref="P71">INDEX('Readability Avg Scores'!E:E,MATCH(1,('ACF Scores'!B71 = 'Readability Avg Scores'!A:A)*('ACF Scores'!D71='Readability Avg Scores'!C:C),0))</f>
        <v>33.482749999999903</v>
      </c>
      <c r="Q71" s="14"/>
    </row>
    <row r="72" spans="1:17" hidden="1" x14ac:dyDescent="0.2">
      <c r="A72" t="s">
        <v>166</v>
      </c>
      <c r="B72" t="s">
        <v>167</v>
      </c>
      <c r="C72" t="s">
        <v>33</v>
      </c>
      <c r="D72" t="s">
        <v>34</v>
      </c>
      <c r="E72" t="s">
        <v>35</v>
      </c>
      <c r="F72" t="s">
        <v>174</v>
      </c>
      <c r="G72">
        <v>0</v>
      </c>
      <c r="H72">
        <v>0.85699999999999998</v>
      </c>
      <c r="I72">
        <v>0.85599999999999998</v>
      </c>
      <c r="J72">
        <v>0.86199999999999999</v>
      </c>
      <c r="K72">
        <v>0.85899999999999999</v>
      </c>
      <c r="L72" s="3">
        <f t="shared" si="4"/>
        <v>0.42849999999999999</v>
      </c>
      <c r="M72">
        <v>0.433</v>
      </c>
      <c r="N72">
        <v>0.5</v>
      </c>
      <c r="O72" s="3">
        <f t="shared" si="3"/>
        <v>0.45383333333333331</v>
      </c>
      <c r="P72" s="2" cm="1">
        <f t="array" ref="P72">INDEX('Readability Avg Scores'!E:E,MATCH(1,('ACF Scores'!B72 = 'Readability Avg Scores'!A:A)*('ACF Scores'!D72='Readability Avg Scores'!C:C),0))</f>
        <v>15.436</v>
      </c>
      <c r="Q72" s="14"/>
    </row>
    <row r="73" spans="1:17" hidden="1" x14ac:dyDescent="0.2">
      <c r="A73" t="s">
        <v>166</v>
      </c>
      <c r="B73" t="s">
        <v>167</v>
      </c>
      <c r="C73" t="s">
        <v>33</v>
      </c>
      <c r="D73" t="s">
        <v>61</v>
      </c>
      <c r="E73" t="s">
        <v>62</v>
      </c>
      <c r="F73" t="s">
        <v>183</v>
      </c>
      <c r="G73">
        <v>0.111</v>
      </c>
      <c r="H73">
        <v>0.86699999999999999</v>
      </c>
      <c r="I73">
        <v>0.81</v>
      </c>
      <c r="J73">
        <v>0.82899999999999996</v>
      </c>
      <c r="K73">
        <v>0.81899999999999995</v>
      </c>
      <c r="L73" s="3">
        <f t="shared" si="4"/>
        <v>0.48899999999999999</v>
      </c>
      <c r="M73">
        <v>0.23699999999999999</v>
      </c>
      <c r="N73">
        <v>0.5</v>
      </c>
      <c r="O73" s="3">
        <f t="shared" si="3"/>
        <v>0.40866666666666668</v>
      </c>
      <c r="P73" s="2" cm="1">
        <f t="array" ref="P73">INDEX('Readability Avg Scores'!E:E,MATCH(1,('ACF Scores'!B73 = 'Readability Avg Scores'!A:A)*('ACF Scores'!D73='Readability Avg Scores'!C:C),0))</f>
        <v>15.39025</v>
      </c>
      <c r="Q73" s="14"/>
    </row>
    <row r="74" spans="1:17" hidden="1" x14ac:dyDescent="0.2">
      <c r="A74" t="s">
        <v>12</v>
      </c>
      <c r="B74" t="s">
        <v>13</v>
      </c>
      <c r="C74" t="s">
        <v>80</v>
      </c>
      <c r="D74" t="s">
        <v>99</v>
      </c>
      <c r="E74" t="s">
        <v>100</v>
      </c>
      <c r="F74" t="s">
        <v>101</v>
      </c>
      <c r="G74">
        <v>1</v>
      </c>
      <c r="H74">
        <v>0.89500000000000002</v>
      </c>
      <c r="I74">
        <v>0.89100000000000001</v>
      </c>
      <c r="J74">
        <v>0.877</v>
      </c>
      <c r="K74">
        <v>0.88400000000000001</v>
      </c>
      <c r="L74" s="3">
        <f t="shared" si="4"/>
        <v>0.94750000000000001</v>
      </c>
      <c r="M74">
        <v>0.81200000000000006</v>
      </c>
      <c r="N74">
        <v>1</v>
      </c>
      <c r="O74" s="3">
        <f t="shared" si="3"/>
        <v>0.91983333333333339</v>
      </c>
      <c r="P74" s="2" cm="1">
        <f t="array" ref="P74">INDEX('Readability Avg Scores'!E:E,MATCH(1,('ACF Scores'!B74 = 'Readability Avg Scores'!A:A)*('ACF Scores'!D74='Readability Avg Scores'!C:C),0))</f>
        <v>18.452750000000002</v>
      </c>
      <c r="Q74" s="14"/>
    </row>
    <row r="75" spans="1:17" hidden="1" x14ac:dyDescent="0.2">
      <c r="A75" t="s">
        <v>12</v>
      </c>
      <c r="B75" t="s">
        <v>13</v>
      </c>
      <c r="C75" t="s">
        <v>105</v>
      </c>
      <c r="D75" t="s">
        <v>118</v>
      </c>
      <c r="E75" t="s">
        <v>119</v>
      </c>
      <c r="F75" t="s">
        <v>120</v>
      </c>
      <c r="G75">
        <v>1</v>
      </c>
      <c r="H75">
        <v>0.92600000000000005</v>
      </c>
      <c r="I75">
        <v>0.92500000000000004</v>
      </c>
      <c r="J75">
        <v>0.94399999999999995</v>
      </c>
      <c r="K75">
        <v>0.93500000000000005</v>
      </c>
      <c r="L75" s="3">
        <f t="shared" si="4"/>
        <v>0.96300000000000008</v>
      </c>
      <c r="M75">
        <v>0.77</v>
      </c>
      <c r="N75">
        <v>1</v>
      </c>
      <c r="O75" s="3">
        <f t="shared" si="3"/>
        <v>0.91100000000000003</v>
      </c>
      <c r="P75" s="2" cm="1">
        <f t="array" ref="P75">INDEX('Readability Avg Scores'!E:E,MATCH(1,('ACF Scores'!B75 = 'Readability Avg Scores'!A:A)*('ACF Scores'!D75='Readability Avg Scores'!C:C),0))</f>
        <v>12.59975</v>
      </c>
      <c r="Q75" s="14"/>
    </row>
    <row r="76" spans="1:17" hidden="1" x14ac:dyDescent="0.2">
      <c r="A76" t="s">
        <v>12</v>
      </c>
      <c r="B76" t="s">
        <v>13</v>
      </c>
      <c r="C76" t="s">
        <v>14</v>
      </c>
      <c r="D76" t="s">
        <v>18</v>
      </c>
      <c r="E76" t="s">
        <v>19</v>
      </c>
      <c r="F76" t="s">
        <v>20</v>
      </c>
      <c r="G76">
        <v>0.73</v>
      </c>
      <c r="H76">
        <v>0.89900000000000002</v>
      </c>
      <c r="I76">
        <v>0.87</v>
      </c>
      <c r="J76">
        <v>0.89200000000000002</v>
      </c>
      <c r="K76">
        <v>0.88100000000000001</v>
      </c>
      <c r="L76" s="3">
        <f t="shared" si="4"/>
        <v>0.8145</v>
      </c>
      <c r="M76">
        <v>0.83899999999999997</v>
      </c>
      <c r="N76">
        <v>1</v>
      </c>
      <c r="O76" s="3">
        <f t="shared" si="3"/>
        <v>0.88450000000000006</v>
      </c>
      <c r="P76" s="2" cm="1">
        <f t="array" ref="P76">INDEX('Readability Avg Scores'!E:E,MATCH(1,('ACF Scores'!B76 = 'Readability Avg Scores'!A:A)*('ACF Scores'!D76='Readability Avg Scores'!C:C),0))</f>
        <v>16.105249999999899</v>
      </c>
      <c r="Q76" s="14"/>
    </row>
    <row r="77" spans="1:17" hidden="1" x14ac:dyDescent="0.2">
      <c r="A77" t="s">
        <v>12</v>
      </c>
      <c r="B77" t="s">
        <v>13</v>
      </c>
      <c r="C77" t="s">
        <v>14</v>
      </c>
      <c r="D77" t="s">
        <v>21</v>
      </c>
      <c r="E77" t="s">
        <v>22</v>
      </c>
      <c r="F77" t="s">
        <v>23</v>
      </c>
      <c r="G77">
        <v>0.75</v>
      </c>
      <c r="H77">
        <v>0.85499999999999998</v>
      </c>
      <c r="I77">
        <v>0.91800000000000004</v>
      </c>
      <c r="J77">
        <v>0.91200000000000003</v>
      </c>
      <c r="K77">
        <v>0.91500000000000004</v>
      </c>
      <c r="L77" s="3">
        <f t="shared" si="4"/>
        <v>0.80249999999999999</v>
      </c>
      <c r="M77">
        <v>0.77900000000000003</v>
      </c>
      <c r="N77">
        <v>1</v>
      </c>
      <c r="O77" s="3">
        <f t="shared" si="3"/>
        <v>0.86050000000000004</v>
      </c>
      <c r="P77" s="2" cm="1">
        <f t="array" ref="P77">INDEX('Readability Avg Scores'!E:E,MATCH(1,('ACF Scores'!B77 = 'Readability Avg Scores'!A:A)*('ACF Scores'!D77='Readability Avg Scores'!C:C),0))</f>
        <v>12.83375</v>
      </c>
      <c r="Q77" s="14"/>
    </row>
    <row r="78" spans="1:17" hidden="1" x14ac:dyDescent="0.2">
      <c r="A78" t="s">
        <v>12</v>
      </c>
      <c r="B78" t="s">
        <v>13</v>
      </c>
      <c r="C78" t="s">
        <v>80</v>
      </c>
      <c r="D78" t="s">
        <v>81</v>
      </c>
      <c r="E78" t="s">
        <v>82</v>
      </c>
      <c r="F78" t="s">
        <v>83</v>
      </c>
      <c r="G78">
        <v>1</v>
      </c>
      <c r="H78">
        <v>0.91</v>
      </c>
      <c r="I78">
        <v>0.88500000000000001</v>
      </c>
      <c r="J78">
        <v>0.90400000000000003</v>
      </c>
      <c r="K78">
        <v>0.89400000000000002</v>
      </c>
      <c r="L78" s="3">
        <f t="shared" si="4"/>
        <v>0.95500000000000007</v>
      </c>
      <c r="M78">
        <v>0.61799999999999999</v>
      </c>
      <c r="N78">
        <v>1</v>
      </c>
      <c r="O78" s="3">
        <f t="shared" si="3"/>
        <v>0.85766666666666669</v>
      </c>
      <c r="P78" s="2" cm="1">
        <f t="array" ref="P78">INDEX('Readability Avg Scores'!E:E,MATCH(1,('ACF Scores'!B78 = 'Readability Avg Scores'!A:A)*('ACF Scores'!D78='Readability Avg Scores'!C:C),0))</f>
        <v>15.043749999999999</v>
      </c>
      <c r="Q78" s="14"/>
    </row>
    <row r="79" spans="1:17" hidden="1" x14ac:dyDescent="0.2">
      <c r="A79" t="s">
        <v>12</v>
      </c>
      <c r="B79" t="s">
        <v>13</v>
      </c>
      <c r="C79" t="s">
        <v>14</v>
      </c>
      <c r="D79" t="s">
        <v>15</v>
      </c>
      <c r="E79" t="s">
        <v>16</v>
      </c>
      <c r="F79" t="s">
        <v>17</v>
      </c>
      <c r="G79">
        <v>1</v>
      </c>
      <c r="H79">
        <v>0.85599999999999998</v>
      </c>
      <c r="I79">
        <v>0.89300000000000002</v>
      </c>
      <c r="J79">
        <v>0.86599999999999999</v>
      </c>
      <c r="K79">
        <v>0.88</v>
      </c>
      <c r="L79" s="3">
        <f t="shared" si="4"/>
        <v>0.92799999999999994</v>
      </c>
      <c r="M79">
        <v>0.63600000000000001</v>
      </c>
      <c r="N79">
        <v>1</v>
      </c>
      <c r="O79" s="3">
        <f t="shared" si="3"/>
        <v>0.85466666666666669</v>
      </c>
      <c r="P79" s="2" cm="1">
        <f t="array" ref="P79">INDEX('Readability Avg Scores'!E:E,MATCH(1,('ACF Scores'!B79 = 'Readability Avg Scores'!A:A)*('ACF Scores'!D79='Readability Avg Scores'!C:C),0))</f>
        <v>13.3575</v>
      </c>
      <c r="Q79" s="14"/>
    </row>
    <row r="80" spans="1:17" hidden="1" x14ac:dyDescent="0.2">
      <c r="A80" t="s">
        <v>12</v>
      </c>
      <c r="B80" t="s">
        <v>13</v>
      </c>
      <c r="C80" t="s">
        <v>121</v>
      </c>
      <c r="D80" t="s">
        <v>125</v>
      </c>
      <c r="E80" t="s">
        <v>126</v>
      </c>
      <c r="F80" t="s">
        <v>127</v>
      </c>
      <c r="G80">
        <v>0.70799999999999996</v>
      </c>
      <c r="H80">
        <v>0.875</v>
      </c>
      <c r="I80">
        <v>0.85299999999999998</v>
      </c>
      <c r="J80">
        <v>0.88900000000000001</v>
      </c>
      <c r="K80">
        <v>0.871</v>
      </c>
      <c r="L80" s="3">
        <f t="shared" si="4"/>
        <v>0.79149999999999998</v>
      </c>
      <c r="M80">
        <v>0.77</v>
      </c>
      <c r="N80">
        <v>1</v>
      </c>
      <c r="O80" s="3">
        <f t="shared" si="3"/>
        <v>0.85383333333333333</v>
      </c>
      <c r="P80" s="2" cm="1">
        <f t="array" ref="P80">INDEX('Readability Avg Scores'!E:E,MATCH(1,('ACF Scores'!B80 = 'Readability Avg Scores'!A:A)*('ACF Scores'!D80='Readability Avg Scores'!C:C),0))</f>
        <v>10.61225</v>
      </c>
      <c r="Q80" s="14"/>
    </row>
    <row r="81" spans="1:17" hidden="1" x14ac:dyDescent="0.2">
      <c r="A81" t="s">
        <v>12</v>
      </c>
      <c r="B81" t="s">
        <v>13</v>
      </c>
      <c r="C81" t="s">
        <v>64</v>
      </c>
      <c r="D81" t="s">
        <v>68</v>
      </c>
      <c r="E81" t="s">
        <v>69</v>
      </c>
      <c r="F81" t="s">
        <v>70</v>
      </c>
      <c r="G81">
        <v>1</v>
      </c>
      <c r="H81">
        <v>0.86099999999999999</v>
      </c>
      <c r="I81">
        <v>0.871</v>
      </c>
      <c r="J81">
        <v>0.90800000000000003</v>
      </c>
      <c r="K81">
        <v>0.88900000000000001</v>
      </c>
      <c r="L81" s="3">
        <f t="shared" si="4"/>
        <v>0.93049999999999999</v>
      </c>
      <c r="M81">
        <v>0.59899999999999998</v>
      </c>
      <c r="N81">
        <v>1</v>
      </c>
      <c r="O81" s="3">
        <f t="shared" si="3"/>
        <v>0.84316666666666673</v>
      </c>
      <c r="P81" s="2" cm="1">
        <f t="array" ref="P81">INDEX('Readability Avg Scores'!E:E,MATCH(1,('ACF Scores'!B81 = 'Readability Avg Scores'!A:A)*('ACF Scores'!D81='Readability Avg Scores'!C:C),0))</f>
        <v>12.64475</v>
      </c>
      <c r="Q81" s="14"/>
    </row>
    <row r="82" spans="1:17" hidden="1" x14ac:dyDescent="0.2">
      <c r="A82" t="s">
        <v>12</v>
      </c>
      <c r="B82" t="s">
        <v>13</v>
      </c>
      <c r="C82" t="s">
        <v>14</v>
      </c>
      <c r="D82" t="s">
        <v>24</v>
      </c>
      <c r="E82" t="s">
        <v>25</v>
      </c>
      <c r="F82" t="s">
        <v>26</v>
      </c>
      <c r="G82">
        <v>0.5</v>
      </c>
      <c r="H82">
        <v>0.81599999999999995</v>
      </c>
      <c r="I82">
        <v>0.91900000000000004</v>
      </c>
      <c r="J82">
        <v>0.93100000000000005</v>
      </c>
      <c r="K82">
        <v>0.92500000000000004</v>
      </c>
      <c r="L82" s="3">
        <f t="shared" si="4"/>
        <v>0.65799999999999992</v>
      </c>
      <c r="M82">
        <v>0.86599999999999999</v>
      </c>
      <c r="N82">
        <v>1</v>
      </c>
      <c r="O82" s="3">
        <f t="shared" si="3"/>
        <v>0.84133333333333338</v>
      </c>
      <c r="P82" s="2" cm="1">
        <f t="array" ref="P82">INDEX('Readability Avg Scores'!E:E,MATCH(1,('ACF Scores'!B82 = 'Readability Avg Scores'!A:A)*('ACF Scores'!D82='Readability Avg Scores'!C:C),0))</f>
        <v>12.502750000000001</v>
      </c>
      <c r="Q82" s="14"/>
    </row>
    <row r="83" spans="1:17" hidden="1" x14ac:dyDescent="0.2">
      <c r="A83" t="s">
        <v>12</v>
      </c>
      <c r="B83" t="s">
        <v>13</v>
      </c>
      <c r="C83" t="s">
        <v>64</v>
      </c>
      <c r="D83" t="s">
        <v>71</v>
      </c>
      <c r="E83" t="s">
        <v>72</v>
      </c>
      <c r="F83" t="s">
        <v>73</v>
      </c>
      <c r="G83">
        <v>0.58299999999999996</v>
      </c>
      <c r="H83">
        <v>0.85899999999999999</v>
      </c>
      <c r="I83">
        <v>0.85899999999999999</v>
      </c>
      <c r="J83">
        <v>0.85299999999999998</v>
      </c>
      <c r="K83">
        <v>0.85599999999999998</v>
      </c>
      <c r="L83" s="3">
        <f t="shared" si="4"/>
        <v>0.72099999999999997</v>
      </c>
      <c r="M83">
        <v>0.73</v>
      </c>
      <c r="N83">
        <v>1</v>
      </c>
      <c r="O83" s="3">
        <f t="shared" si="3"/>
        <v>0.81700000000000006</v>
      </c>
      <c r="P83" s="2" cm="1">
        <f t="array" ref="P83">INDEX('Readability Avg Scores'!E:E,MATCH(1,('ACF Scores'!B83 = 'Readability Avg Scores'!A:A)*('ACF Scores'!D83='Readability Avg Scores'!C:C),0))</f>
        <v>9.9924999999999997</v>
      </c>
      <c r="Q83" s="14"/>
    </row>
    <row r="84" spans="1:17" hidden="1" x14ac:dyDescent="0.2">
      <c r="A84" t="s">
        <v>12</v>
      </c>
      <c r="B84" t="s">
        <v>13</v>
      </c>
      <c r="C84" t="s">
        <v>105</v>
      </c>
      <c r="D84" t="s">
        <v>109</v>
      </c>
      <c r="E84" t="s">
        <v>110</v>
      </c>
      <c r="F84" t="s">
        <v>111</v>
      </c>
      <c r="G84">
        <v>1</v>
      </c>
      <c r="H84">
        <v>0.94199999999999995</v>
      </c>
      <c r="I84">
        <v>0.88300000000000001</v>
      </c>
      <c r="J84">
        <v>0.85899999999999999</v>
      </c>
      <c r="K84">
        <v>0.871</v>
      </c>
      <c r="L84" s="3">
        <f t="shared" si="4"/>
        <v>0.97099999999999997</v>
      </c>
      <c r="M84">
        <v>0.43</v>
      </c>
      <c r="N84">
        <v>1</v>
      </c>
      <c r="O84" s="3">
        <f t="shared" si="3"/>
        <v>0.80033333333333323</v>
      </c>
      <c r="P84" s="2" cm="1">
        <f t="array" ref="P84">INDEX('Readability Avg Scores'!E:E,MATCH(1,('ACF Scores'!B84 = 'Readability Avg Scores'!A:A)*('ACF Scores'!D84='Readability Avg Scores'!C:C),0))</f>
        <v>8.8202499999999997</v>
      </c>
      <c r="Q84" s="14"/>
    </row>
    <row r="85" spans="1:17" hidden="1" x14ac:dyDescent="0.2">
      <c r="A85" t="s">
        <v>12</v>
      </c>
      <c r="B85" t="s">
        <v>13</v>
      </c>
      <c r="C85" t="s">
        <v>64</v>
      </c>
      <c r="D85" t="s">
        <v>77</v>
      </c>
      <c r="E85" t="s">
        <v>78</v>
      </c>
      <c r="F85" t="s">
        <v>79</v>
      </c>
      <c r="G85">
        <v>0.5</v>
      </c>
      <c r="H85">
        <v>0.85299999999999998</v>
      </c>
      <c r="I85">
        <v>0.85399999999999998</v>
      </c>
      <c r="J85">
        <v>0.85799999999999998</v>
      </c>
      <c r="K85">
        <v>0.85599999999999998</v>
      </c>
      <c r="L85" s="3">
        <f t="shared" si="4"/>
        <v>0.67649999999999999</v>
      </c>
      <c r="M85">
        <v>0.68700000000000006</v>
      </c>
      <c r="N85">
        <v>1</v>
      </c>
      <c r="O85" s="3">
        <f t="shared" si="3"/>
        <v>0.78783333333333339</v>
      </c>
      <c r="P85" s="2" cm="1">
        <f t="array" ref="P85">INDEX('Readability Avg Scores'!E:E,MATCH(1,('ACF Scores'!B85 = 'Readability Avg Scores'!A:A)*('ACF Scores'!D85='Readability Avg Scores'!C:C),0))</f>
        <v>11.415749999999999</v>
      </c>
      <c r="Q85" s="14"/>
    </row>
    <row r="86" spans="1:17" hidden="1" x14ac:dyDescent="0.2">
      <c r="A86" t="s">
        <v>12</v>
      </c>
      <c r="B86" t="s">
        <v>13</v>
      </c>
      <c r="C86" t="s">
        <v>121</v>
      </c>
      <c r="D86" t="s">
        <v>122</v>
      </c>
      <c r="E86" t="s">
        <v>123</v>
      </c>
      <c r="F86" t="s">
        <v>124</v>
      </c>
      <c r="G86">
        <v>0.4</v>
      </c>
      <c r="H86">
        <v>0.85499999999999998</v>
      </c>
      <c r="I86">
        <v>0.84899999999999998</v>
      </c>
      <c r="J86">
        <v>0.86199999999999999</v>
      </c>
      <c r="K86">
        <v>0.85599999999999998</v>
      </c>
      <c r="L86" s="3">
        <f t="shared" si="4"/>
        <v>0.62749999999999995</v>
      </c>
      <c r="M86">
        <v>0.71</v>
      </c>
      <c r="N86">
        <v>1</v>
      </c>
      <c r="O86" s="3">
        <f t="shared" si="3"/>
        <v>0.77916666666666667</v>
      </c>
      <c r="P86" s="2" cm="1">
        <f t="array" ref="P86">INDEX('Readability Avg Scores'!E:E,MATCH(1,('ACF Scores'!B86 = 'Readability Avg Scores'!A:A)*('ACF Scores'!D86='Readability Avg Scores'!C:C),0))</f>
        <v>11.13425</v>
      </c>
      <c r="Q86" s="14"/>
    </row>
    <row r="87" spans="1:17" hidden="1" x14ac:dyDescent="0.2">
      <c r="A87" t="s">
        <v>12</v>
      </c>
      <c r="B87" t="s">
        <v>13</v>
      </c>
      <c r="C87" t="s">
        <v>80</v>
      </c>
      <c r="D87" t="s">
        <v>96</v>
      </c>
      <c r="E87" t="s">
        <v>97</v>
      </c>
      <c r="F87" t="s">
        <v>98</v>
      </c>
      <c r="G87">
        <v>0.61099999999999999</v>
      </c>
      <c r="H87">
        <v>0.88</v>
      </c>
      <c r="I87">
        <v>0.86499999999999999</v>
      </c>
      <c r="J87">
        <v>0.86299999999999999</v>
      </c>
      <c r="K87">
        <v>0.86399999999999999</v>
      </c>
      <c r="L87" s="3">
        <f t="shared" si="4"/>
        <v>0.74550000000000005</v>
      </c>
      <c r="M87">
        <v>0.56699999999999995</v>
      </c>
      <c r="N87">
        <v>1</v>
      </c>
      <c r="O87" s="3">
        <f t="shared" si="3"/>
        <v>0.77083333333333337</v>
      </c>
      <c r="P87" s="2" cm="1">
        <f t="array" ref="P87">INDEX('Readability Avg Scores'!E:E,MATCH(1,('ACF Scores'!B87 = 'Readability Avg Scores'!A:A)*('ACF Scores'!D87='Readability Avg Scores'!C:C),0))</f>
        <v>14.555499999999901</v>
      </c>
      <c r="Q87" s="14"/>
    </row>
    <row r="88" spans="1:17" hidden="1" x14ac:dyDescent="0.2">
      <c r="A88" t="s">
        <v>12</v>
      </c>
      <c r="B88" t="s">
        <v>13</v>
      </c>
      <c r="C88" t="s">
        <v>33</v>
      </c>
      <c r="D88" t="s">
        <v>61</v>
      </c>
      <c r="E88" t="s">
        <v>62</v>
      </c>
      <c r="F88" t="s">
        <v>63</v>
      </c>
      <c r="G88">
        <v>0.33300000000000002</v>
      </c>
      <c r="H88">
        <v>0.874</v>
      </c>
      <c r="I88">
        <v>0.89700000000000002</v>
      </c>
      <c r="J88">
        <v>0.86499999999999999</v>
      </c>
      <c r="K88">
        <v>0.88100000000000001</v>
      </c>
      <c r="L88" s="3">
        <f t="shared" si="4"/>
        <v>0.60350000000000004</v>
      </c>
      <c r="M88">
        <v>0.67200000000000004</v>
      </c>
      <c r="N88">
        <v>1</v>
      </c>
      <c r="O88" s="3">
        <f t="shared" si="3"/>
        <v>0.75850000000000006</v>
      </c>
      <c r="P88" s="2" cm="1">
        <f t="array" ref="P88">INDEX('Readability Avg Scores'!E:E,MATCH(1,('ACF Scores'!B88 = 'Readability Avg Scores'!A:A)*('ACF Scores'!D88='Readability Avg Scores'!C:C),0))</f>
        <v>7.9702500000000001</v>
      </c>
      <c r="Q88" s="14"/>
    </row>
    <row r="89" spans="1:17" hidden="1" x14ac:dyDescent="0.2">
      <c r="A89" t="s">
        <v>12</v>
      </c>
      <c r="B89" t="s">
        <v>13</v>
      </c>
      <c r="C89" t="s">
        <v>14</v>
      </c>
      <c r="D89" t="s">
        <v>30</v>
      </c>
      <c r="E89" t="s">
        <v>31</v>
      </c>
      <c r="F89" t="s">
        <v>32</v>
      </c>
      <c r="G89">
        <v>0.3</v>
      </c>
      <c r="H89">
        <v>0.83699999999999997</v>
      </c>
      <c r="I89">
        <v>0.873</v>
      </c>
      <c r="J89">
        <v>0.876</v>
      </c>
      <c r="K89">
        <v>0.874</v>
      </c>
      <c r="L89" s="3">
        <f t="shared" si="4"/>
        <v>0.56850000000000001</v>
      </c>
      <c r="M89">
        <v>0.66400000000000003</v>
      </c>
      <c r="N89">
        <v>1</v>
      </c>
      <c r="O89" s="3">
        <f t="shared" si="3"/>
        <v>0.74416666666666664</v>
      </c>
      <c r="P89" s="2" cm="1">
        <f t="array" ref="P89">INDEX('Readability Avg Scores'!E:E,MATCH(1,('ACF Scores'!B89 = 'Readability Avg Scores'!A:A)*('ACF Scores'!D89='Readability Avg Scores'!C:C),0))</f>
        <v>13.30475</v>
      </c>
      <c r="Q89" s="14"/>
    </row>
    <row r="90" spans="1:17" hidden="1" x14ac:dyDescent="0.2">
      <c r="A90" t="s">
        <v>12</v>
      </c>
      <c r="B90" t="s">
        <v>13</v>
      </c>
      <c r="C90" t="s">
        <v>80</v>
      </c>
      <c r="D90" t="s">
        <v>84</v>
      </c>
      <c r="E90" t="s">
        <v>85</v>
      </c>
      <c r="F90" t="s">
        <v>86</v>
      </c>
      <c r="G90">
        <v>0.2</v>
      </c>
      <c r="H90">
        <v>0.83299999999999996</v>
      </c>
      <c r="I90">
        <v>0.82799999999999996</v>
      </c>
      <c r="J90">
        <v>0.83599999999999997</v>
      </c>
      <c r="K90">
        <v>0.83199999999999996</v>
      </c>
      <c r="L90" s="3">
        <f t="shared" si="4"/>
        <v>0.51649999999999996</v>
      </c>
      <c r="M90">
        <v>0.57899999999999996</v>
      </c>
      <c r="N90">
        <v>1</v>
      </c>
      <c r="O90" s="3">
        <f t="shared" si="3"/>
        <v>0.69850000000000001</v>
      </c>
      <c r="P90" s="2" cm="1">
        <f t="array" ref="P90">INDEX('Readability Avg Scores'!E:E,MATCH(1,('ACF Scores'!B90 = 'Readability Avg Scores'!A:A)*('ACF Scores'!D90='Readability Avg Scores'!C:C),0))</f>
        <v>22.97625</v>
      </c>
      <c r="Q90" s="14"/>
    </row>
    <row r="91" spans="1:17" hidden="1" x14ac:dyDescent="0.2">
      <c r="A91" t="s">
        <v>12</v>
      </c>
      <c r="B91" t="s">
        <v>13</v>
      </c>
      <c r="C91" t="s">
        <v>33</v>
      </c>
      <c r="D91" t="s">
        <v>49</v>
      </c>
      <c r="E91" t="s">
        <v>50</v>
      </c>
      <c r="F91" t="s">
        <v>51</v>
      </c>
      <c r="G91">
        <v>0</v>
      </c>
      <c r="H91">
        <v>0.85799999999999998</v>
      </c>
      <c r="I91">
        <v>0.88</v>
      </c>
      <c r="J91">
        <v>0.86899999999999999</v>
      </c>
      <c r="K91">
        <v>0.874</v>
      </c>
      <c r="L91" s="3">
        <f t="shared" si="4"/>
        <v>0.42899999999999999</v>
      </c>
      <c r="M91">
        <v>0.64300000000000002</v>
      </c>
      <c r="N91">
        <v>1</v>
      </c>
      <c r="O91" s="3">
        <f t="shared" si="3"/>
        <v>0.69066666666666665</v>
      </c>
      <c r="P91" s="2" cm="1">
        <f t="array" ref="P91">INDEX('Readability Avg Scores'!E:E,MATCH(1,('ACF Scores'!B91 = 'Readability Avg Scores'!A:A)*('ACF Scores'!D91='Readability Avg Scores'!C:C),0))</f>
        <v>15.154249999999999</v>
      </c>
      <c r="Q91" s="14"/>
    </row>
    <row r="92" spans="1:17" hidden="1" x14ac:dyDescent="0.2">
      <c r="A92" t="s">
        <v>12</v>
      </c>
      <c r="B92" t="s">
        <v>13</v>
      </c>
      <c r="C92" t="s">
        <v>64</v>
      </c>
      <c r="D92" t="s">
        <v>65</v>
      </c>
      <c r="E92" t="s">
        <v>66</v>
      </c>
      <c r="F92" t="s">
        <v>67</v>
      </c>
      <c r="G92">
        <v>0.26700000000000002</v>
      </c>
      <c r="H92">
        <v>0.86799999999999999</v>
      </c>
      <c r="I92">
        <v>0.86</v>
      </c>
      <c r="J92">
        <v>0.84599999999999997</v>
      </c>
      <c r="K92">
        <v>0.85299999999999998</v>
      </c>
      <c r="L92" s="3">
        <f t="shared" si="4"/>
        <v>0.5675</v>
      </c>
      <c r="M92">
        <v>0.502</v>
      </c>
      <c r="N92">
        <v>1</v>
      </c>
      <c r="O92" s="3">
        <f t="shared" si="3"/>
        <v>0.68983333333333341</v>
      </c>
      <c r="P92" s="2" cm="1">
        <f t="array" ref="P92">INDEX('Readability Avg Scores'!E:E,MATCH(1,('ACF Scores'!B92 = 'Readability Avg Scores'!A:A)*('ACF Scores'!D92='Readability Avg Scores'!C:C),0))</f>
        <v>10.742249999999901</v>
      </c>
      <c r="Q92" s="14"/>
    </row>
    <row r="93" spans="1:17" hidden="1" x14ac:dyDescent="0.2">
      <c r="A93" t="s">
        <v>12</v>
      </c>
      <c r="B93" t="s">
        <v>13</v>
      </c>
      <c r="C93" t="s">
        <v>105</v>
      </c>
      <c r="D93" t="s">
        <v>115</v>
      </c>
      <c r="E93" t="s">
        <v>116</v>
      </c>
      <c r="F93" t="s">
        <v>117</v>
      </c>
      <c r="G93">
        <v>0.5</v>
      </c>
      <c r="H93">
        <v>0.86199999999999999</v>
      </c>
      <c r="I93">
        <v>0.89200000000000002</v>
      </c>
      <c r="J93">
        <v>0.88</v>
      </c>
      <c r="K93">
        <v>0.88600000000000001</v>
      </c>
      <c r="L93" s="3">
        <f t="shared" si="4"/>
        <v>0.68100000000000005</v>
      </c>
      <c r="M93">
        <v>0.35199999999999998</v>
      </c>
      <c r="N93">
        <v>1</v>
      </c>
      <c r="O93" s="3">
        <f t="shared" si="3"/>
        <v>0.67766666666666664</v>
      </c>
      <c r="P93" s="2" cm="1">
        <f t="array" ref="P93">INDEX('Readability Avg Scores'!E:E,MATCH(1,('ACF Scores'!B93 = 'Readability Avg Scores'!A:A)*('ACF Scores'!D93='Readability Avg Scores'!C:C),0))</f>
        <v>15.239750000000001</v>
      </c>
      <c r="Q93" s="14"/>
    </row>
    <row r="94" spans="1:17" hidden="1" x14ac:dyDescent="0.2">
      <c r="A94" t="s">
        <v>12</v>
      </c>
      <c r="B94" t="s">
        <v>13</v>
      </c>
      <c r="C94" t="s">
        <v>105</v>
      </c>
      <c r="D94" t="s">
        <v>106</v>
      </c>
      <c r="E94" t="s">
        <v>107</v>
      </c>
      <c r="F94" t="s">
        <v>108</v>
      </c>
      <c r="G94">
        <v>0.2</v>
      </c>
      <c r="H94">
        <v>0.88300000000000001</v>
      </c>
      <c r="I94">
        <v>0.871</v>
      </c>
      <c r="J94">
        <v>0.85799999999999998</v>
      </c>
      <c r="K94">
        <v>0.86499999999999999</v>
      </c>
      <c r="L94" s="3">
        <f t="shared" si="4"/>
        <v>0.54149999999999998</v>
      </c>
      <c r="M94">
        <v>0.47</v>
      </c>
      <c r="N94">
        <v>1</v>
      </c>
      <c r="O94" s="3">
        <f t="shared" si="3"/>
        <v>0.67049999999999998</v>
      </c>
      <c r="P94" s="2" cm="1">
        <f t="array" ref="P94">INDEX('Readability Avg Scores'!E:E,MATCH(1,('ACF Scores'!B94 = 'Readability Avg Scores'!A:A)*('ACF Scores'!D94='Readability Avg Scores'!C:C),0))</f>
        <v>13.78375</v>
      </c>
      <c r="Q94" s="14"/>
    </row>
    <row r="95" spans="1:17" hidden="1" x14ac:dyDescent="0.2">
      <c r="A95" t="s">
        <v>12</v>
      </c>
      <c r="B95" t="s">
        <v>13</v>
      </c>
      <c r="C95" t="s">
        <v>80</v>
      </c>
      <c r="D95" t="s">
        <v>102</v>
      </c>
      <c r="E95" t="s">
        <v>103</v>
      </c>
      <c r="F95" t="s">
        <v>104</v>
      </c>
      <c r="G95">
        <v>0</v>
      </c>
      <c r="H95">
        <v>0.86299999999999999</v>
      </c>
      <c r="I95">
        <v>0.876</v>
      </c>
      <c r="J95">
        <v>0.80700000000000005</v>
      </c>
      <c r="K95">
        <v>0.84</v>
      </c>
      <c r="L95" s="3">
        <f t="shared" si="4"/>
        <v>0.43149999999999999</v>
      </c>
      <c r="M95">
        <v>0.56799999999999995</v>
      </c>
      <c r="N95">
        <v>1</v>
      </c>
      <c r="O95" s="3">
        <f t="shared" si="3"/>
        <v>0.66649999999999998</v>
      </c>
      <c r="P95" s="2" cm="1">
        <f t="array" ref="P95">INDEX('Readability Avg Scores'!E:E,MATCH(1,('ACF Scores'!B95 = 'Readability Avg Scores'!A:A)*('ACF Scores'!D95='Readability Avg Scores'!C:C),0))</f>
        <v>17.271249999999998</v>
      </c>
      <c r="Q95" s="14"/>
    </row>
    <row r="96" spans="1:17" hidden="1" x14ac:dyDescent="0.2">
      <c r="A96" t="s">
        <v>166</v>
      </c>
      <c r="B96" t="s">
        <v>167</v>
      </c>
      <c r="C96" t="s">
        <v>80</v>
      </c>
      <c r="D96" t="s">
        <v>90</v>
      </c>
      <c r="E96" t="s">
        <v>91</v>
      </c>
      <c r="F96" t="s">
        <v>192</v>
      </c>
      <c r="G96">
        <v>0</v>
      </c>
      <c r="H96">
        <v>0.83399999999999996</v>
      </c>
      <c r="I96">
        <v>0.81599999999999995</v>
      </c>
      <c r="J96">
        <v>0.82299999999999995</v>
      </c>
      <c r="K96">
        <v>0.82</v>
      </c>
      <c r="L96" s="3">
        <f t="shared" si="4"/>
        <v>0.41699999999999998</v>
      </c>
      <c r="M96">
        <v>0.20699999999999999</v>
      </c>
      <c r="N96">
        <v>0.5</v>
      </c>
      <c r="O96" s="3">
        <f t="shared" si="3"/>
        <v>0.37466666666666665</v>
      </c>
      <c r="P96" s="2" cm="1">
        <f t="array" ref="P96">INDEX('Readability Avg Scores'!E:E,MATCH(1,('ACF Scores'!B96 = 'Readability Avg Scores'!A:A)*('ACF Scores'!D96='Readability Avg Scores'!C:C),0))</f>
        <v>15.454000000000001</v>
      </c>
      <c r="Q96" s="14"/>
    </row>
    <row r="97" spans="1:17" ht="102" hidden="1" x14ac:dyDescent="0.2">
      <c r="A97" t="s">
        <v>12</v>
      </c>
      <c r="B97" t="s">
        <v>13</v>
      </c>
      <c r="C97" t="s">
        <v>33</v>
      </c>
      <c r="D97" t="s">
        <v>52</v>
      </c>
      <c r="E97" s="1" t="s">
        <v>53</v>
      </c>
      <c r="F97" s="1" t="s">
        <v>54</v>
      </c>
      <c r="G97">
        <v>0.5</v>
      </c>
      <c r="H97">
        <v>0.874</v>
      </c>
      <c r="I97">
        <v>0.88100000000000001</v>
      </c>
      <c r="J97">
        <v>0.79900000000000004</v>
      </c>
      <c r="K97">
        <v>0.83799999999999997</v>
      </c>
      <c r="L97" s="3">
        <f t="shared" si="4"/>
        <v>0.68700000000000006</v>
      </c>
      <c r="M97">
        <v>0.69199999999999995</v>
      </c>
      <c r="N97">
        <v>0.5</v>
      </c>
      <c r="O97" s="3">
        <f t="shared" si="3"/>
        <v>0.6263333333333333</v>
      </c>
      <c r="P97" s="2" cm="1">
        <f t="array" ref="P97">INDEX('Readability Avg Scores'!E:E,MATCH(1,('ACF Scores'!B97 = 'Readability Avg Scores'!A:A)*('ACF Scores'!D97='Readability Avg Scores'!C:C),0))</f>
        <v>12.968499999999899</v>
      </c>
      <c r="Q97" s="14"/>
    </row>
    <row r="98" spans="1:17" ht="85" hidden="1" x14ac:dyDescent="0.2">
      <c r="A98" t="s">
        <v>12</v>
      </c>
      <c r="B98" t="s">
        <v>13</v>
      </c>
      <c r="C98" t="s">
        <v>105</v>
      </c>
      <c r="D98" t="s">
        <v>112</v>
      </c>
      <c r="E98" s="1" t="s">
        <v>113</v>
      </c>
      <c r="F98" s="1" t="s">
        <v>114</v>
      </c>
      <c r="G98">
        <v>0.44</v>
      </c>
      <c r="H98">
        <v>0.875</v>
      </c>
      <c r="I98">
        <v>0.88200000000000001</v>
      </c>
      <c r="J98">
        <v>0.85499999999999998</v>
      </c>
      <c r="K98">
        <v>0.86799999999999999</v>
      </c>
      <c r="L98" s="3">
        <f t="shared" si="4"/>
        <v>0.65749999999999997</v>
      </c>
      <c r="M98">
        <v>0.67</v>
      </c>
      <c r="N98">
        <v>0.5</v>
      </c>
      <c r="O98" s="3">
        <f t="shared" ref="O98:O129" si="5">(N98+M98+(G98+H98)/2)/3</f>
        <v>0.60916666666666663</v>
      </c>
      <c r="P98" s="2" cm="1">
        <f t="array" ref="P98">INDEX('Readability Avg Scores'!E:E,MATCH(1,('ACF Scores'!B98 = 'Readability Avg Scores'!A:A)*('ACF Scores'!D98='Readability Avg Scores'!C:C),0))</f>
        <v>15.9115</v>
      </c>
      <c r="Q98" s="14"/>
    </row>
    <row r="99" spans="1:17" ht="68" hidden="1" x14ac:dyDescent="0.2">
      <c r="A99" t="s">
        <v>12</v>
      </c>
      <c r="B99" t="s">
        <v>13</v>
      </c>
      <c r="C99" t="s">
        <v>33</v>
      </c>
      <c r="D99" t="s">
        <v>43</v>
      </c>
      <c r="E99" s="1" t="s">
        <v>44</v>
      </c>
      <c r="F99" s="1" t="s">
        <v>45</v>
      </c>
      <c r="G99">
        <v>0.5</v>
      </c>
      <c r="H99">
        <v>0.86</v>
      </c>
      <c r="I99">
        <v>0.879</v>
      </c>
      <c r="J99">
        <v>0.84799999999999998</v>
      </c>
      <c r="K99">
        <v>0.86299999999999999</v>
      </c>
      <c r="L99" s="3">
        <f t="shared" si="4"/>
        <v>0.67999999999999994</v>
      </c>
      <c r="M99">
        <v>0.61199999999999999</v>
      </c>
      <c r="N99">
        <v>0.5</v>
      </c>
      <c r="O99" s="3">
        <f t="shared" si="5"/>
        <v>0.59733333333333338</v>
      </c>
      <c r="P99" s="2" cm="1">
        <f t="array" ref="P99">INDEX('Readability Avg Scores'!E:E,MATCH(1,('ACF Scores'!B99 = 'Readability Avg Scores'!A:A)*('ACF Scores'!D99='Readability Avg Scores'!C:C),0))</f>
        <v>14.345750000000001</v>
      </c>
      <c r="Q99" s="14"/>
    </row>
    <row r="100" spans="1:17" ht="51" hidden="1" x14ac:dyDescent="0.2">
      <c r="A100" t="s">
        <v>12</v>
      </c>
      <c r="B100" t="s">
        <v>13</v>
      </c>
      <c r="C100" t="s">
        <v>33</v>
      </c>
      <c r="D100" t="s">
        <v>40</v>
      </c>
      <c r="E100" s="1" t="s">
        <v>41</v>
      </c>
      <c r="F100" s="1" t="s">
        <v>42</v>
      </c>
      <c r="G100">
        <v>0</v>
      </c>
      <c r="H100">
        <v>0.85699999999999998</v>
      </c>
      <c r="I100">
        <v>0.85899999999999999</v>
      </c>
      <c r="J100">
        <v>0.83199999999999996</v>
      </c>
      <c r="K100">
        <v>0.84499999999999997</v>
      </c>
      <c r="L100" s="3">
        <f t="shared" si="4"/>
        <v>0.42849999999999999</v>
      </c>
      <c r="M100">
        <v>0.73399999999999999</v>
      </c>
      <c r="N100">
        <v>0.5</v>
      </c>
      <c r="O100" s="3">
        <f t="shared" si="5"/>
        <v>0.5541666666666667</v>
      </c>
      <c r="P100" s="2" cm="1">
        <f t="array" ref="P100">INDEX('Readability Avg Scores'!E:E,MATCH(1,('ACF Scores'!B100 = 'Readability Avg Scores'!A:A)*('ACF Scores'!D100='Readability Avg Scores'!C:C),0))</f>
        <v>13.3665</v>
      </c>
      <c r="Q100" s="14"/>
    </row>
    <row r="101" spans="1:17" ht="102" hidden="1" x14ac:dyDescent="0.2">
      <c r="A101" t="s">
        <v>12</v>
      </c>
      <c r="B101" t="s">
        <v>13</v>
      </c>
      <c r="C101" t="s">
        <v>33</v>
      </c>
      <c r="D101" t="s">
        <v>37</v>
      </c>
      <c r="E101" s="1" t="s">
        <v>38</v>
      </c>
      <c r="F101" s="1" t="s">
        <v>39</v>
      </c>
      <c r="G101">
        <v>0.22800000000000001</v>
      </c>
      <c r="H101">
        <v>0.85</v>
      </c>
      <c r="I101">
        <v>0.88900000000000001</v>
      </c>
      <c r="J101">
        <v>0.83899999999999997</v>
      </c>
      <c r="K101">
        <v>0.86299999999999999</v>
      </c>
      <c r="L101" s="3">
        <f t="shared" si="4"/>
        <v>0.53900000000000003</v>
      </c>
      <c r="M101">
        <v>0.56200000000000006</v>
      </c>
      <c r="N101">
        <v>0.5</v>
      </c>
      <c r="O101" s="3">
        <f t="shared" si="5"/>
        <v>0.53366666666666662</v>
      </c>
      <c r="P101" s="2" cm="1">
        <f t="array" ref="P101">INDEX('Readability Avg Scores'!E:E,MATCH(1,('ACF Scores'!B101 = 'Readability Avg Scores'!A:A)*('ACF Scores'!D101='Readability Avg Scores'!C:C),0))</f>
        <v>13.2095</v>
      </c>
      <c r="Q101" s="14"/>
    </row>
    <row r="102" spans="1:17" ht="51" hidden="1" x14ac:dyDescent="0.2">
      <c r="A102" t="s">
        <v>12</v>
      </c>
      <c r="B102" t="s">
        <v>13</v>
      </c>
      <c r="C102" t="s">
        <v>33</v>
      </c>
      <c r="D102" t="s">
        <v>46</v>
      </c>
      <c r="E102" s="1" t="s">
        <v>47</v>
      </c>
      <c r="F102" s="1" t="s">
        <v>48</v>
      </c>
      <c r="G102">
        <v>0.125</v>
      </c>
      <c r="H102">
        <v>0.85699999999999998</v>
      </c>
      <c r="I102">
        <v>0.84899999999999998</v>
      </c>
      <c r="J102">
        <v>0.876</v>
      </c>
      <c r="K102">
        <v>0.86199999999999999</v>
      </c>
      <c r="L102" s="3">
        <f t="shared" si="4"/>
        <v>0.49099999999999999</v>
      </c>
      <c r="M102">
        <v>0.58399999999999996</v>
      </c>
      <c r="N102">
        <v>0.5</v>
      </c>
      <c r="O102" s="3">
        <f t="shared" si="5"/>
        <v>0.52500000000000002</v>
      </c>
      <c r="P102" s="2" cm="1">
        <f t="array" ref="P102">INDEX('Readability Avg Scores'!E:E,MATCH(1,('ACF Scores'!B102 = 'Readability Avg Scores'!A:A)*('ACF Scores'!D102='Readability Avg Scores'!C:C),0))</f>
        <v>20.1785</v>
      </c>
      <c r="Q102" s="14"/>
    </row>
    <row r="103" spans="1:17" ht="68" hidden="1" x14ac:dyDescent="0.2">
      <c r="A103" t="s">
        <v>12</v>
      </c>
      <c r="B103" t="s">
        <v>13</v>
      </c>
      <c r="C103" t="s">
        <v>80</v>
      </c>
      <c r="D103" t="s">
        <v>93</v>
      </c>
      <c r="E103" s="1" t="s">
        <v>94</v>
      </c>
      <c r="F103" s="1" t="s">
        <v>95</v>
      </c>
      <c r="G103">
        <v>0.2</v>
      </c>
      <c r="H103">
        <v>0.878</v>
      </c>
      <c r="I103">
        <v>0.873</v>
      </c>
      <c r="J103">
        <v>0.82299999999999995</v>
      </c>
      <c r="K103">
        <v>0.84699999999999998</v>
      </c>
      <c r="L103" s="3">
        <f t="shared" si="4"/>
        <v>0.53900000000000003</v>
      </c>
      <c r="M103">
        <v>0.47699999999999998</v>
      </c>
      <c r="N103">
        <v>0.5</v>
      </c>
      <c r="O103" s="3">
        <f t="shared" si="5"/>
        <v>0.5053333333333333</v>
      </c>
      <c r="P103" s="2" cm="1">
        <f t="array" ref="P103">INDEX('Readability Avg Scores'!E:E,MATCH(1,('ACF Scores'!B103 = 'Readability Avg Scores'!A:A)*('ACF Scores'!D103='Readability Avg Scores'!C:C),0))</f>
        <v>11.8065</v>
      </c>
      <c r="Q103" s="14"/>
    </row>
    <row r="104" spans="1:17" hidden="1" x14ac:dyDescent="0.2">
      <c r="A104" t="s">
        <v>12</v>
      </c>
      <c r="B104" t="s">
        <v>13</v>
      </c>
      <c r="C104" t="s">
        <v>80</v>
      </c>
      <c r="D104" t="s">
        <v>90</v>
      </c>
      <c r="E104" t="s">
        <v>91</v>
      </c>
      <c r="F104" t="s">
        <v>92</v>
      </c>
      <c r="G104">
        <v>0</v>
      </c>
      <c r="H104">
        <v>0.84</v>
      </c>
      <c r="I104">
        <v>0.78300000000000003</v>
      </c>
      <c r="J104">
        <v>0.82</v>
      </c>
      <c r="K104">
        <v>0.80100000000000005</v>
      </c>
      <c r="L104" s="3">
        <f t="shared" si="4"/>
        <v>0.42</v>
      </c>
      <c r="M104">
        <v>7.3999999999999996E-2</v>
      </c>
      <c r="N104">
        <v>1</v>
      </c>
      <c r="O104" s="3">
        <f t="shared" si="5"/>
        <v>0.498</v>
      </c>
      <c r="P104" s="2" cm="1">
        <f t="array" ref="P104">INDEX('Readability Avg Scores'!E:E,MATCH(1,('ACF Scores'!B104 = 'Readability Avg Scores'!A:A)*('ACF Scores'!D104='Readability Avg Scores'!C:C),0))</f>
        <v>16.420749999999899</v>
      </c>
      <c r="Q104" s="14"/>
    </row>
    <row r="105" spans="1:17" ht="51" hidden="1" x14ac:dyDescent="0.2">
      <c r="A105" t="s">
        <v>12</v>
      </c>
      <c r="B105" t="s">
        <v>13</v>
      </c>
      <c r="C105" t="s">
        <v>14</v>
      </c>
      <c r="D105" t="s">
        <v>27</v>
      </c>
      <c r="E105" s="1" t="s">
        <v>28</v>
      </c>
      <c r="F105" s="1" t="s">
        <v>29</v>
      </c>
      <c r="G105">
        <v>6.7000000000000004E-2</v>
      </c>
      <c r="H105">
        <v>0.85399999999999998</v>
      </c>
      <c r="I105">
        <v>0.81899999999999995</v>
      </c>
      <c r="J105">
        <v>0.84399999999999997</v>
      </c>
      <c r="K105">
        <v>0.83199999999999996</v>
      </c>
      <c r="L105" s="3">
        <f t="shared" si="4"/>
        <v>0.46050000000000002</v>
      </c>
      <c r="M105">
        <v>0.54100000000000004</v>
      </c>
      <c r="N105">
        <v>0.5</v>
      </c>
      <c r="O105" s="3">
        <f t="shared" si="5"/>
        <v>0.50050000000000006</v>
      </c>
      <c r="P105" s="2" cm="1">
        <f t="array" ref="P105">INDEX('Readability Avg Scores'!E:E,MATCH(1,('ACF Scores'!B105 = 'Readability Avg Scores'!A:A)*('ACF Scores'!D105='Readability Avg Scores'!C:C),0))</f>
        <v>16.416499999999999</v>
      </c>
      <c r="Q105" s="14"/>
    </row>
    <row r="106" spans="1:17" ht="51" x14ac:dyDescent="0.2">
      <c r="A106" t="s">
        <v>12</v>
      </c>
      <c r="B106" t="s">
        <v>13</v>
      </c>
      <c r="C106" t="s">
        <v>33</v>
      </c>
      <c r="D106" t="s">
        <v>58</v>
      </c>
      <c r="E106" s="1" t="s">
        <v>59</v>
      </c>
      <c r="F106" s="1" t="s">
        <v>60</v>
      </c>
      <c r="G106">
        <v>0</v>
      </c>
      <c r="H106">
        <v>0.85499999999999998</v>
      </c>
      <c r="I106">
        <v>0.89100000000000001</v>
      </c>
      <c r="J106">
        <v>0.81699999999999995</v>
      </c>
      <c r="K106">
        <v>0.85299999999999998</v>
      </c>
      <c r="L106" s="3">
        <f t="shared" si="4"/>
        <v>0.42749999999999999</v>
      </c>
      <c r="M106">
        <v>0.48899999999999999</v>
      </c>
      <c r="N106">
        <v>0.5</v>
      </c>
      <c r="O106" s="3">
        <f t="shared" si="5"/>
        <v>0.47216666666666668</v>
      </c>
      <c r="P106" s="2" cm="1">
        <f t="array" ref="P106">INDEX('Readability Avg Scores'!E:E,MATCH(1,('ACF Scores'!B106 = 'Readability Avg Scores'!A:A)*('ACF Scores'!D106='Readability Avg Scores'!C:C),0))</f>
        <v>14.605</v>
      </c>
      <c r="Q106" s="14"/>
    </row>
    <row r="107" spans="1:17" ht="34" hidden="1" x14ac:dyDescent="0.2">
      <c r="A107" t="s">
        <v>12</v>
      </c>
      <c r="B107" t="s">
        <v>13</v>
      </c>
      <c r="C107" t="s">
        <v>33</v>
      </c>
      <c r="D107" t="s">
        <v>34</v>
      </c>
      <c r="E107" s="1" t="s">
        <v>35</v>
      </c>
      <c r="F107" s="1" t="s">
        <v>36</v>
      </c>
      <c r="G107">
        <v>0</v>
      </c>
      <c r="H107">
        <v>0.85799999999999998</v>
      </c>
      <c r="I107">
        <v>0.85199999999999998</v>
      </c>
      <c r="J107">
        <v>0.85599999999999998</v>
      </c>
      <c r="K107">
        <v>0.85399999999999998</v>
      </c>
      <c r="L107" s="3">
        <f t="shared" si="4"/>
        <v>0.42899999999999999</v>
      </c>
      <c r="M107">
        <v>0.39700000000000002</v>
      </c>
      <c r="N107">
        <v>0.5</v>
      </c>
      <c r="O107" s="3">
        <f t="shared" si="5"/>
        <v>0.442</v>
      </c>
      <c r="P107" s="2" cm="1">
        <f t="array" ref="P107">INDEX('Readability Avg Scores'!E:E,MATCH(1,('ACF Scores'!B107 = 'Readability Avg Scores'!A:A)*('ACF Scores'!D107='Readability Avg Scores'!C:C),0))</f>
        <v>12.11275</v>
      </c>
      <c r="Q107" s="14"/>
    </row>
    <row r="108" spans="1:17" ht="119" hidden="1" x14ac:dyDescent="0.2">
      <c r="A108" t="s">
        <v>12</v>
      </c>
      <c r="B108" t="s">
        <v>13</v>
      </c>
      <c r="C108" t="s">
        <v>33</v>
      </c>
      <c r="D108" t="s">
        <v>55</v>
      </c>
      <c r="E108" s="1" t="s">
        <v>56</v>
      </c>
      <c r="F108" s="1" t="s">
        <v>57</v>
      </c>
      <c r="G108">
        <v>0</v>
      </c>
      <c r="H108">
        <v>0.82199999999999995</v>
      </c>
      <c r="I108">
        <v>0.86399999999999999</v>
      </c>
      <c r="J108">
        <v>0.79300000000000004</v>
      </c>
      <c r="K108">
        <v>0.82699999999999996</v>
      </c>
      <c r="L108" s="3">
        <f t="shared" si="4"/>
        <v>0.41099999999999998</v>
      </c>
      <c r="M108">
        <v>0.372</v>
      </c>
      <c r="N108">
        <v>0.5</v>
      </c>
      <c r="O108" s="3">
        <f t="shared" si="5"/>
        <v>0.42766666666666664</v>
      </c>
      <c r="P108" s="2" cm="1">
        <f t="array" ref="P108">INDEX('Readability Avg Scores'!E:E,MATCH(1,('ACF Scores'!B108 = 'Readability Avg Scores'!A:A)*('ACF Scores'!D108='Readability Avg Scores'!C:C),0))</f>
        <v>11.5145</v>
      </c>
      <c r="Q108" s="14"/>
    </row>
    <row r="109" spans="1:17" ht="34" hidden="1" x14ac:dyDescent="0.2">
      <c r="A109" t="s">
        <v>12</v>
      </c>
      <c r="B109" t="s">
        <v>13</v>
      </c>
      <c r="C109" t="s">
        <v>80</v>
      </c>
      <c r="D109" t="s">
        <v>87</v>
      </c>
      <c r="E109" s="1" t="s">
        <v>88</v>
      </c>
      <c r="F109" s="1" t="s">
        <v>89</v>
      </c>
      <c r="G109">
        <v>0</v>
      </c>
      <c r="H109">
        <v>0.85299999999999998</v>
      </c>
      <c r="I109">
        <v>0.84899999999999998</v>
      </c>
      <c r="J109">
        <v>0.84</v>
      </c>
      <c r="K109">
        <v>0.84499999999999997</v>
      </c>
      <c r="L109" s="3">
        <f t="shared" si="4"/>
        <v>0.42649999999999999</v>
      </c>
      <c r="M109">
        <v>0.34100000000000003</v>
      </c>
      <c r="N109">
        <v>0.5</v>
      </c>
      <c r="O109" s="3">
        <f t="shared" si="5"/>
        <v>0.42250000000000004</v>
      </c>
      <c r="P109" s="2" cm="1">
        <f t="array" ref="P109">INDEX('Readability Avg Scores'!E:E,MATCH(1,('ACF Scores'!B109 = 'Readability Avg Scores'!A:A)*('ACF Scores'!D109='Readability Avg Scores'!C:C),0))</f>
        <v>14.49775</v>
      </c>
      <c r="Q109" s="14"/>
    </row>
  </sheetData>
  <autoFilter ref="A1:O109" xr:uid="{13AB7CE7-C8AB-4D47-BFB2-91551A6EC891}">
    <filterColumn colId="1">
      <filters>
        <filter val="Claude Opus 4.6 Reasoning"/>
        <filter val="Gemini 3 Pro"/>
      </filters>
    </filterColumn>
    <filterColumn colId="3">
      <filters>
        <filter val="What is the amount of the output data?"/>
      </filters>
    </filterColumn>
  </autoFilter>
  <conditionalFormatting sqref="S10:S15">
    <cfRule type="colorScale" priority="6">
      <colorScale>
        <cfvo type="min"/>
        <cfvo type="percentile" val="50"/>
        <cfvo type="max"/>
        <color rgb="FFF8696B"/>
        <color rgb="FFFFEB84"/>
        <color rgb="FF63BE7B"/>
      </colorScale>
    </cfRule>
  </conditionalFormatting>
  <conditionalFormatting sqref="U10:U15">
    <cfRule type="colorScale" priority="5">
      <colorScale>
        <cfvo type="min"/>
        <cfvo type="percentile" val="50"/>
        <cfvo type="max"/>
        <color rgb="FFF8696B"/>
        <color rgb="FFFFEB84"/>
        <color rgb="FF63BE7B"/>
      </colorScale>
    </cfRule>
  </conditionalFormatting>
  <conditionalFormatting sqref="W10:W15">
    <cfRule type="colorScale" priority="4">
      <colorScale>
        <cfvo type="min"/>
        <cfvo type="percentile" val="50"/>
        <cfvo type="max"/>
        <color rgb="FFF8696B"/>
        <color rgb="FFFFEB84"/>
        <color rgb="FF63BE7B"/>
      </colorScale>
    </cfRule>
  </conditionalFormatting>
  <conditionalFormatting sqref="Y10:Y15">
    <cfRule type="colorScale" priority="3">
      <colorScale>
        <cfvo type="min"/>
        <cfvo type="percentile" val="50"/>
        <cfvo type="max"/>
        <color rgb="FFF8696B"/>
        <color rgb="FFFFEB84"/>
        <color rgb="FF63BE7B"/>
      </colorScale>
    </cfRule>
  </conditionalFormatting>
  <conditionalFormatting sqref="AA10:AA15">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5CB05-8D2D-3042-A77F-FEA429E0DC57}">
  <dimension ref="A1:H109"/>
  <sheetViews>
    <sheetView topLeftCell="A51" workbookViewId="0">
      <selection activeCell="G2" sqref="G2:H8"/>
    </sheetView>
  </sheetViews>
  <sheetFormatPr baseColWidth="10" defaultColWidth="50.33203125" defaultRowHeight="16" x14ac:dyDescent="0.2"/>
  <cols>
    <col min="1" max="1" width="26.1640625" bestFit="1" customWidth="1"/>
    <col min="2" max="2" width="31.5" bestFit="1" customWidth="1"/>
    <col min="3" max="3" width="62.83203125" bestFit="1" customWidth="1"/>
    <col min="4" max="4" width="83.1640625" customWidth="1"/>
    <col min="5" max="5" width="19.33203125" style="9" bestFit="1" customWidth="1"/>
    <col min="6" max="6" width="22.83203125" customWidth="1"/>
  </cols>
  <sheetData>
    <row r="1" spans="1:8" x14ac:dyDescent="0.2">
      <c r="A1" t="s">
        <v>1</v>
      </c>
      <c r="B1" t="s">
        <v>2</v>
      </c>
      <c r="C1" t="s">
        <v>3</v>
      </c>
      <c r="D1" t="s">
        <v>206</v>
      </c>
      <c r="E1" s="9" t="s">
        <v>363</v>
      </c>
    </row>
    <row r="2" spans="1:8" x14ac:dyDescent="0.2">
      <c r="A2" t="s">
        <v>13</v>
      </c>
      <c r="B2" t="s">
        <v>33</v>
      </c>
      <c r="C2" t="s">
        <v>61</v>
      </c>
      <c r="D2" t="s">
        <v>63</v>
      </c>
      <c r="E2" s="9">
        <v>7.9702500000000001</v>
      </c>
      <c r="F2" s="2"/>
    </row>
    <row r="3" spans="1:8" x14ac:dyDescent="0.2">
      <c r="A3" t="s">
        <v>13</v>
      </c>
      <c r="B3" t="s">
        <v>105</v>
      </c>
      <c r="C3" t="s">
        <v>109</v>
      </c>
      <c r="D3" t="s">
        <v>111</v>
      </c>
      <c r="E3" s="9">
        <v>8.8202499999999997</v>
      </c>
      <c r="F3" s="2"/>
      <c r="H3" s="5"/>
    </row>
    <row r="4" spans="1:8" x14ac:dyDescent="0.2">
      <c r="A4" t="s">
        <v>13</v>
      </c>
      <c r="B4" t="s">
        <v>64</v>
      </c>
      <c r="C4" t="s">
        <v>71</v>
      </c>
      <c r="D4" t="s">
        <v>73</v>
      </c>
      <c r="E4" s="9">
        <v>9.9924999999999997</v>
      </c>
      <c r="F4" s="2"/>
      <c r="H4" s="5"/>
    </row>
    <row r="5" spans="1:8" x14ac:dyDescent="0.2">
      <c r="A5" t="s">
        <v>129</v>
      </c>
      <c r="B5" t="s">
        <v>14</v>
      </c>
      <c r="C5" t="s">
        <v>24</v>
      </c>
      <c r="D5" t="s">
        <v>133</v>
      </c>
      <c r="E5" s="9">
        <v>10.42475</v>
      </c>
      <c r="F5" s="2"/>
      <c r="H5" s="5"/>
    </row>
    <row r="6" spans="1:8" x14ac:dyDescent="0.2">
      <c r="A6" t="s">
        <v>13</v>
      </c>
      <c r="B6" t="s">
        <v>121</v>
      </c>
      <c r="C6" t="s">
        <v>125</v>
      </c>
      <c r="D6" t="s">
        <v>127</v>
      </c>
      <c r="E6" s="9">
        <v>10.61225</v>
      </c>
      <c r="F6" s="2"/>
      <c r="H6" s="5"/>
    </row>
    <row r="7" spans="1:8" x14ac:dyDescent="0.2">
      <c r="A7" t="s">
        <v>129</v>
      </c>
      <c r="B7" t="s">
        <v>64</v>
      </c>
      <c r="C7" t="s">
        <v>65</v>
      </c>
      <c r="D7" t="s">
        <v>146</v>
      </c>
      <c r="E7" s="9">
        <v>10.67475</v>
      </c>
      <c r="F7" s="2"/>
    </row>
    <row r="8" spans="1:8" x14ac:dyDescent="0.2">
      <c r="A8" t="s">
        <v>13</v>
      </c>
      <c r="B8" t="s">
        <v>64</v>
      </c>
      <c r="C8" t="s">
        <v>65</v>
      </c>
      <c r="D8" t="s">
        <v>67</v>
      </c>
      <c r="E8" s="9">
        <v>10.742249999999901</v>
      </c>
      <c r="F8" s="2"/>
    </row>
    <row r="9" spans="1:8" x14ac:dyDescent="0.2">
      <c r="A9" t="s">
        <v>13</v>
      </c>
      <c r="B9" t="s">
        <v>121</v>
      </c>
      <c r="C9" t="s">
        <v>122</v>
      </c>
      <c r="D9" t="s">
        <v>124</v>
      </c>
      <c r="E9" s="9">
        <v>11.13425</v>
      </c>
      <c r="F9" s="2"/>
    </row>
    <row r="10" spans="1:8" x14ac:dyDescent="0.2">
      <c r="A10" t="s">
        <v>13</v>
      </c>
      <c r="B10" t="s">
        <v>64</v>
      </c>
      <c r="C10" t="s">
        <v>74</v>
      </c>
      <c r="D10" t="s">
        <v>76</v>
      </c>
      <c r="E10" s="9">
        <v>11.33475</v>
      </c>
      <c r="F10" s="2"/>
    </row>
    <row r="11" spans="1:8" x14ac:dyDescent="0.2">
      <c r="A11" t="s">
        <v>13</v>
      </c>
      <c r="B11" t="s">
        <v>64</v>
      </c>
      <c r="C11" t="s">
        <v>77</v>
      </c>
      <c r="D11" t="s">
        <v>79</v>
      </c>
      <c r="E11" s="9">
        <v>11.415749999999999</v>
      </c>
      <c r="F11" s="2"/>
    </row>
    <row r="12" spans="1:8" x14ac:dyDescent="0.2">
      <c r="A12" t="s">
        <v>13</v>
      </c>
      <c r="B12" t="s">
        <v>33</v>
      </c>
      <c r="C12" t="s">
        <v>55</v>
      </c>
      <c r="D12" t="s">
        <v>57</v>
      </c>
      <c r="E12" s="9">
        <v>11.5145</v>
      </c>
      <c r="F12" s="2"/>
    </row>
    <row r="13" spans="1:8" x14ac:dyDescent="0.2">
      <c r="A13" t="s">
        <v>13</v>
      </c>
      <c r="B13" t="s">
        <v>208</v>
      </c>
      <c r="C13" t="s">
        <v>93</v>
      </c>
      <c r="D13" t="s">
        <v>95</v>
      </c>
      <c r="E13" s="9">
        <v>11.8065</v>
      </c>
      <c r="F13" s="2"/>
    </row>
    <row r="14" spans="1:8" x14ac:dyDescent="0.2">
      <c r="A14" t="s">
        <v>13</v>
      </c>
      <c r="B14" t="s">
        <v>33</v>
      </c>
      <c r="C14" t="s">
        <v>34</v>
      </c>
      <c r="D14" t="s">
        <v>36</v>
      </c>
      <c r="E14" s="9">
        <v>12.11275</v>
      </c>
      <c r="F14" s="2"/>
    </row>
    <row r="15" spans="1:8" x14ac:dyDescent="0.2">
      <c r="A15" t="s">
        <v>129</v>
      </c>
      <c r="B15" t="s">
        <v>64</v>
      </c>
      <c r="C15" t="s">
        <v>77</v>
      </c>
      <c r="D15" t="s">
        <v>150</v>
      </c>
      <c r="E15" s="9">
        <v>12.1755</v>
      </c>
      <c r="F15" s="2"/>
    </row>
    <row r="16" spans="1:8" x14ac:dyDescent="0.2">
      <c r="A16" t="s">
        <v>129</v>
      </c>
      <c r="B16" t="s">
        <v>14</v>
      </c>
      <c r="C16" t="s">
        <v>15</v>
      </c>
      <c r="D16" t="s">
        <v>130</v>
      </c>
      <c r="E16" s="9">
        <v>12.275</v>
      </c>
      <c r="F16" s="2"/>
    </row>
    <row r="17" spans="1:6" x14ac:dyDescent="0.2">
      <c r="A17" t="s">
        <v>167</v>
      </c>
      <c r="B17" t="s">
        <v>33</v>
      </c>
      <c r="C17" t="s">
        <v>37</v>
      </c>
      <c r="D17" t="s">
        <v>175</v>
      </c>
      <c r="E17" s="9">
        <v>12.303750000000001</v>
      </c>
      <c r="F17" s="2"/>
    </row>
    <row r="18" spans="1:6" x14ac:dyDescent="0.2">
      <c r="A18" t="s">
        <v>129</v>
      </c>
      <c r="B18" t="s">
        <v>105</v>
      </c>
      <c r="C18" t="s">
        <v>109</v>
      </c>
      <c r="D18" t="s">
        <v>160</v>
      </c>
      <c r="E18" s="9">
        <v>12.372</v>
      </c>
      <c r="F18" s="2"/>
    </row>
    <row r="19" spans="1:6" x14ac:dyDescent="0.2">
      <c r="A19" t="s">
        <v>13</v>
      </c>
      <c r="B19" t="s">
        <v>14</v>
      </c>
      <c r="C19" t="s">
        <v>24</v>
      </c>
      <c r="D19" t="s">
        <v>26</v>
      </c>
      <c r="E19" s="9">
        <v>12.502750000000001</v>
      </c>
      <c r="F19" s="2"/>
    </row>
    <row r="20" spans="1:6" x14ac:dyDescent="0.2">
      <c r="A20" t="s">
        <v>167</v>
      </c>
      <c r="B20" t="s">
        <v>105</v>
      </c>
      <c r="C20" t="s">
        <v>106</v>
      </c>
      <c r="D20" t="s">
        <v>197</v>
      </c>
      <c r="E20" s="9">
        <v>12.597</v>
      </c>
      <c r="F20" s="2"/>
    </row>
    <row r="21" spans="1:6" x14ac:dyDescent="0.2">
      <c r="A21" t="s">
        <v>13</v>
      </c>
      <c r="B21" t="s">
        <v>105</v>
      </c>
      <c r="C21" t="s">
        <v>118</v>
      </c>
      <c r="D21" t="s">
        <v>120</v>
      </c>
      <c r="E21" s="9">
        <v>12.59975</v>
      </c>
      <c r="F21" s="2"/>
    </row>
    <row r="22" spans="1:6" x14ac:dyDescent="0.2">
      <c r="A22" t="s">
        <v>13</v>
      </c>
      <c r="B22" t="s">
        <v>64</v>
      </c>
      <c r="C22" t="s">
        <v>68</v>
      </c>
      <c r="D22" t="s">
        <v>70</v>
      </c>
      <c r="E22" s="9">
        <v>12.64475</v>
      </c>
      <c r="F22" s="2"/>
    </row>
    <row r="23" spans="1:6" x14ac:dyDescent="0.2">
      <c r="A23" t="s">
        <v>167</v>
      </c>
      <c r="B23" t="s">
        <v>105</v>
      </c>
      <c r="C23" t="s">
        <v>109</v>
      </c>
      <c r="D23" t="s">
        <v>198</v>
      </c>
      <c r="E23" s="9">
        <v>12.745749999999999</v>
      </c>
      <c r="F23" s="2"/>
    </row>
    <row r="24" spans="1:6" x14ac:dyDescent="0.2">
      <c r="A24" t="s">
        <v>13</v>
      </c>
      <c r="B24" t="s">
        <v>14</v>
      </c>
      <c r="C24" t="s">
        <v>21</v>
      </c>
      <c r="D24" t="s">
        <v>23</v>
      </c>
      <c r="E24" s="9">
        <v>12.83375</v>
      </c>
      <c r="F24" s="2"/>
    </row>
    <row r="25" spans="1:6" x14ac:dyDescent="0.2">
      <c r="A25" t="s">
        <v>13</v>
      </c>
      <c r="B25" t="s">
        <v>33</v>
      </c>
      <c r="C25" t="s">
        <v>52</v>
      </c>
      <c r="D25" t="s">
        <v>54</v>
      </c>
      <c r="E25" s="9">
        <v>12.968499999999899</v>
      </c>
      <c r="F25" s="2"/>
    </row>
    <row r="26" spans="1:6" x14ac:dyDescent="0.2">
      <c r="A26" t="s">
        <v>129</v>
      </c>
      <c r="B26" t="s">
        <v>105</v>
      </c>
      <c r="C26" t="s">
        <v>106</v>
      </c>
      <c r="D26" t="s">
        <v>159</v>
      </c>
      <c r="E26" s="9">
        <v>12.998249999999899</v>
      </c>
      <c r="F26" s="2"/>
    </row>
    <row r="27" spans="1:6" x14ac:dyDescent="0.2">
      <c r="A27" t="s">
        <v>129</v>
      </c>
      <c r="B27" t="s">
        <v>64</v>
      </c>
      <c r="C27" t="s">
        <v>68</v>
      </c>
      <c r="D27" t="s">
        <v>147</v>
      </c>
      <c r="E27" s="9">
        <v>13.059249999999899</v>
      </c>
      <c r="F27" s="2"/>
    </row>
    <row r="28" spans="1:6" x14ac:dyDescent="0.2">
      <c r="A28" t="s">
        <v>129</v>
      </c>
      <c r="B28" t="s">
        <v>208</v>
      </c>
      <c r="C28" t="s">
        <v>102</v>
      </c>
      <c r="D28" t="s">
        <v>158</v>
      </c>
      <c r="E28" s="9">
        <v>13.156750000000001</v>
      </c>
      <c r="F28" s="2"/>
    </row>
    <row r="29" spans="1:6" x14ac:dyDescent="0.2">
      <c r="A29" t="s">
        <v>13</v>
      </c>
      <c r="B29" t="s">
        <v>33</v>
      </c>
      <c r="C29" t="s">
        <v>37</v>
      </c>
      <c r="D29" t="s">
        <v>39</v>
      </c>
      <c r="E29" s="9">
        <v>13.2095</v>
      </c>
      <c r="F29" s="2"/>
    </row>
    <row r="30" spans="1:6" x14ac:dyDescent="0.2">
      <c r="A30" t="s">
        <v>129</v>
      </c>
      <c r="B30" t="s">
        <v>105</v>
      </c>
      <c r="C30" t="s">
        <v>115</v>
      </c>
      <c r="D30" t="s">
        <v>162</v>
      </c>
      <c r="E30" s="9">
        <v>13.25475</v>
      </c>
      <c r="F30" s="2"/>
    </row>
    <row r="31" spans="1:6" x14ac:dyDescent="0.2">
      <c r="A31" t="s">
        <v>167</v>
      </c>
      <c r="B31" t="s">
        <v>64</v>
      </c>
      <c r="C31" t="s">
        <v>65</v>
      </c>
      <c r="D31" t="s">
        <v>184</v>
      </c>
      <c r="E31" s="9">
        <v>13.267749999999999</v>
      </c>
      <c r="F31" s="2"/>
    </row>
    <row r="32" spans="1:6" x14ac:dyDescent="0.2">
      <c r="A32" t="s">
        <v>13</v>
      </c>
      <c r="B32" t="s">
        <v>14</v>
      </c>
      <c r="C32" t="s">
        <v>30</v>
      </c>
      <c r="D32" t="s">
        <v>32</v>
      </c>
      <c r="E32" s="9">
        <v>13.30475</v>
      </c>
      <c r="F32" s="2"/>
    </row>
    <row r="33" spans="1:6" x14ac:dyDescent="0.2">
      <c r="A33" t="s">
        <v>13</v>
      </c>
      <c r="B33" t="s">
        <v>14</v>
      </c>
      <c r="C33" t="s">
        <v>15</v>
      </c>
      <c r="D33" t="s">
        <v>17</v>
      </c>
      <c r="E33" s="9">
        <v>13.3575</v>
      </c>
      <c r="F33" s="2"/>
    </row>
    <row r="34" spans="1:6" x14ac:dyDescent="0.2">
      <c r="A34" t="s">
        <v>13</v>
      </c>
      <c r="B34" t="s">
        <v>33</v>
      </c>
      <c r="C34" t="s">
        <v>40</v>
      </c>
      <c r="D34" t="s">
        <v>42</v>
      </c>
      <c r="E34" s="9">
        <v>13.3665</v>
      </c>
      <c r="F34" s="2"/>
    </row>
    <row r="35" spans="1:6" x14ac:dyDescent="0.2">
      <c r="A35" t="s">
        <v>129</v>
      </c>
      <c r="B35" t="s">
        <v>14</v>
      </c>
      <c r="C35" t="s">
        <v>21</v>
      </c>
      <c r="D35" t="s">
        <v>132</v>
      </c>
      <c r="E35" s="9">
        <v>13.5185</v>
      </c>
      <c r="F35" s="2"/>
    </row>
    <row r="36" spans="1:6" x14ac:dyDescent="0.2">
      <c r="A36" t="s">
        <v>13</v>
      </c>
      <c r="B36" t="s">
        <v>105</v>
      </c>
      <c r="C36" t="s">
        <v>106</v>
      </c>
      <c r="D36" t="s">
        <v>108</v>
      </c>
      <c r="E36" s="9">
        <v>13.78375</v>
      </c>
      <c r="F36" s="2"/>
    </row>
    <row r="37" spans="1:6" x14ac:dyDescent="0.2">
      <c r="A37" t="s">
        <v>129</v>
      </c>
      <c r="B37" t="s">
        <v>33</v>
      </c>
      <c r="C37" t="s">
        <v>61</v>
      </c>
      <c r="D37" t="s">
        <v>145</v>
      </c>
      <c r="E37" s="9">
        <v>13.86675</v>
      </c>
      <c r="F37" s="2"/>
    </row>
    <row r="38" spans="1:6" x14ac:dyDescent="0.2">
      <c r="A38" t="s">
        <v>167</v>
      </c>
      <c r="B38" t="s">
        <v>64</v>
      </c>
      <c r="C38" t="s">
        <v>68</v>
      </c>
      <c r="D38" t="s">
        <v>185</v>
      </c>
      <c r="E38" s="9">
        <v>14.17775</v>
      </c>
      <c r="F38" s="2"/>
    </row>
    <row r="39" spans="1:6" x14ac:dyDescent="0.2">
      <c r="A39" t="s">
        <v>129</v>
      </c>
      <c r="B39" t="s">
        <v>208</v>
      </c>
      <c r="C39" t="s">
        <v>93</v>
      </c>
      <c r="D39" t="s">
        <v>155</v>
      </c>
      <c r="E39" s="9">
        <v>14.186999999999999</v>
      </c>
      <c r="F39" s="2"/>
    </row>
    <row r="40" spans="1:6" x14ac:dyDescent="0.2">
      <c r="A40" t="s">
        <v>167</v>
      </c>
      <c r="B40" t="s">
        <v>14</v>
      </c>
      <c r="C40" t="s">
        <v>24</v>
      </c>
      <c r="D40" t="s">
        <v>171</v>
      </c>
      <c r="E40" s="9">
        <v>14.3405</v>
      </c>
      <c r="F40" s="2"/>
    </row>
    <row r="41" spans="1:6" x14ac:dyDescent="0.2">
      <c r="A41" t="s">
        <v>13</v>
      </c>
      <c r="B41" t="s">
        <v>33</v>
      </c>
      <c r="C41" t="s">
        <v>43</v>
      </c>
      <c r="D41" t="s">
        <v>45</v>
      </c>
      <c r="E41" s="9">
        <v>14.345750000000001</v>
      </c>
      <c r="F41" s="2"/>
    </row>
    <row r="42" spans="1:6" x14ac:dyDescent="0.2">
      <c r="A42" t="s">
        <v>129</v>
      </c>
      <c r="B42" t="s">
        <v>33</v>
      </c>
      <c r="C42" t="s">
        <v>37</v>
      </c>
      <c r="D42" t="s">
        <v>137</v>
      </c>
      <c r="E42" s="9">
        <v>14.368</v>
      </c>
      <c r="F42" s="2"/>
    </row>
    <row r="43" spans="1:6" x14ac:dyDescent="0.2">
      <c r="A43" t="s">
        <v>129</v>
      </c>
      <c r="B43" t="s">
        <v>33</v>
      </c>
      <c r="C43" t="s">
        <v>55</v>
      </c>
      <c r="D43" t="s">
        <v>143</v>
      </c>
      <c r="E43" s="9">
        <v>14.382</v>
      </c>
      <c r="F43" s="2"/>
    </row>
    <row r="44" spans="1:6" x14ac:dyDescent="0.2">
      <c r="A44" t="s">
        <v>13</v>
      </c>
      <c r="B44" t="s">
        <v>208</v>
      </c>
      <c r="C44" t="s">
        <v>87</v>
      </c>
      <c r="D44" t="s">
        <v>89</v>
      </c>
      <c r="E44" s="9">
        <v>14.49775</v>
      </c>
      <c r="F44" s="2"/>
    </row>
    <row r="45" spans="1:6" x14ac:dyDescent="0.2">
      <c r="A45" t="s">
        <v>129</v>
      </c>
      <c r="B45" t="s">
        <v>64</v>
      </c>
      <c r="C45" t="s">
        <v>74</v>
      </c>
      <c r="D45" t="s">
        <v>149</v>
      </c>
      <c r="E45" s="9">
        <v>14.525</v>
      </c>
      <c r="F45" s="2"/>
    </row>
    <row r="46" spans="1:6" x14ac:dyDescent="0.2">
      <c r="A46" t="s">
        <v>13</v>
      </c>
      <c r="B46" t="s">
        <v>208</v>
      </c>
      <c r="C46" t="s">
        <v>96</v>
      </c>
      <c r="D46" t="s">
        <v>98</v>
      </c>
      <c r="E46" s="9">
        <v>14.555499999999901</v>
      </c>
      <c r="F46" s="2"/>
    </row>
    <row r="47" spans="1:6" x14ac:dyDescent="0.2">
      <c r="A47" t="s">
        <v>167</v>
      </c>
      <c r="B47" t="s">
        <v>14</v>
      </c>
      <c r="C47" t="s">
        <v>21</v>
      </c>
      <c r="D47" t="s">
        <v>170</v>
      </c>
      <c r="E47" s="9">
        <v>14.593249999999999</v>
      </c>
      <c r="F47" s="2"/>
    </row>
    <row r="48" spans="1:6" x14ac:dyDescent="0.2">
      <c r="A48" t="s">
        <v>13</v>
      </c>
      <c r="B48" t="s">
        <v>33</v>
      </c>
      <c r="C48" t="s">
        <v>58</v>
      </c>
      <c r="D48" t="s">
        <v>60</v>
      </c>
      <c r="E48" s="9">
        <v>14.605</v>
      </c>
      <c r="F48" s="2"/>
    </row>
    <row r="49" spans="1:6" x14ac:dyDescent="0.2">
      <c r="A49" t="s">
        <v>167</v>
      </c>
      <c r="B49" t="s">
        <v>208</v>
      </c>
      <c r="C49" t="s">
        <v>81</v>
      </c>
      <c r="D49" t="s">
        <v>189</v>
      </c>
      <c r="E49" s="9">
        <v>14.681749999999999</v>
      </c>
      <c r="F49" s="2"/>
    </row>
    <row r="50" spans="1:6" x14ac:dyDescent="0.2">
      <c r="A50" t="s">
        <v>129</v>
      </c>
      <c r="B50" t="s">
        <v>14</v>
      </c>
      <c r="C50" t="s">
        <v>27</v>
      </c>
      <c r="D50" t="s">
        <v>134</v>
      </c>
      <c r="E50" s="9">
        <v>14.734</v>
      </c>
      <c r="F50" s="2"/>
    </row>
    <row r="51" spans="1:6" x14ac:dyDescent="0.2">
      <c r="A51" t="s">
        <v>129</v>
      </c>
      <c r="B51" t="s">
        <v>33</v>
      </c>
      <c r="C51" t="s">
        <v>46</v>
      </c>
      <c r="D51" t="s">
        <v>140</v>
      </c>
      <c r="E51" s="9">
        <v>14.939499999999899</v>
      </c>
      <c r="F51" s="2"/>
    </row>
    <row r="52" spans="1:6" x14ac:dyDescent="0.2">
      <c r="A52" t="s">
        <v>129</v>
      </c>
      <c r="B52" t="s">
        <v>208</v>
      </c>
      <c r="C52" t="s">
        <v>90</v>
      </c>
      <c r="D52" t="s">
        <v>154</v>
      </c>
      <c r="E52" s="9">
        <v>14.971500000000001</v>
      </c>
      <c r="F52" s="2"/>
    </row>
    <row r="53" spans="1:6" x14ac:dyDescent="0.2">
      <c r="A53" t="s">
        <v>129</v>
      </c>
      <c r="B53" t="s">
        <v>33</v>
      </c>
      <c r="C53" t="s">
        <v>40</v>
      </c>
      <c r="D53" t="s">
        <v>138</v>
      </c>
      <c r="E53" s="9">
        <v>15.01125</v>
      </c>
      <c r="F53" s="2"/>
    </row>
    <row r="54" spans="1:6" x14ac:dyDescent="0.2">
      <c r="A54" t="s">
        <v>13</v>
      </c>
      <c r="B54" t="s">
        <v>208</v>
      </c>
      <c r="C54" t="s">
        <v>81</v>
      </c>
      <c r="D54" t="s">
        <v>83</v>
      </c>
      <c r="E54" s="9">
        <v>15.043749999999999</v>
      </c>
      <c r="F54" s="2"/>
    </row>
    <row r="55" spans="1:6" x14ac:dyDescent="0.2">
      <c r="A55" t="s">
        <v>167</v>
      </c>
      <c r="B55" t="s">
        <v>208</v>
      </c>
      <c r="C55" t="s">
        <v>102</v>
      </c>
      <c r="D55" t="s">
        <v>196</v>
      </c>
      <c r="E55" s="9">
        <v>15.117999999999901</v>
      </c>
      <c r="F55" s="2"/>
    </row>
    <row r="56" spans="1:6" x14ac:dyDescent="0.2">
      <c r="A56" t="s">
        <v>167</v>
      </c>
      <c r="B56" t="s">
        <v>33</v>
      </c>
      <c r="C56" t="s">
        <v>52</v>
      </c>
      <c r="D56" t="s">
        <v>180</v>
      </c>
      <c r="E56" s="9">
        <v>15.118</v>
      </c>
      <c r="F56" s="2"/>
    </row>
    <row r="57" spans="1:6" x14ac:dyDescent="0.2">
      <c r="A57" t="s">
        <v>129</v>
      </c>
      <c r="B57" t="s">
        <v>208</v>
      </c>
      <c r="C57" t="s">
        <v>96</v>
      </c>
      <c r="D57" t="s">
        <v>156</v>
      </c>
      <c r="E57" s="9">
        <v>15.122</v>
      </c>
      <c r="F57" s="2"/>
    </row>
    <row r="58" spans="1:6" x14ac:dyDescent="0.2">
      <c r="A58" t="s">
        <v>13</v>
      </c>
      <c r="B58" t="s">
        <v>33</v>
      </c>
      <c r="C58" t="s">
        <v>49</v>
      </c>
      <c r="D58" t="s">
        <v>51</v>
      </c>
      <c r="E58" s="9">
        <v>15.154249999999999</v>
      </c>
      <c r="F58" s="2"/>
    </row>
    <row r="59" spans="1:6" x14ac:dyDescent="0.2">
      <c r="A59" t="s">
        <v>129</v>
      </c>
      <c r="B59" t="s">
        <v>14</v>
      </c>
      <c r="C59" t="s">
        <v>18</v>
      </c>
      <c r="D59" t="s">
        <v>131</v>
      </c>
      <c r="E59" s="9">
        <v>15.17675</v>
      </c>
      <c r="F59" s="2"/>
    </row>
    <row r="60" spans="1:6" x14ac:dyDescent="0.2">
      <c r="A60" t="s">
        <v>167</v>
      </c>
      <c r="B60" t="s">
        <v>14</v>
      </c>
      <c r="C60" t="s">
        <v>15</v>
      </c>
      <c r="D60" t="s">
        <v>168</v>
      </c>
      <c r="E60" s="9">
        <v>15.195499999999999</v>
      </c>
      <c r="F60" s="2"/>
    </row>
    <row r="61" spans="1:6" x14ac:dyDescent="0.2">
      <c r="A61" t="s">
        <v>13</v>
      </c>
      <c r="B61" t="s">
        <v>105</v>
      </c>
      <c r="C61" t="s">
        <v>115</v>
      </c>
      <c r="D61" t="s">
        <v>117</v>
      </c>
      <c r="E61" s="9">
        <v>15.239750000000001</v>
      </c>
      <c r="F61" s="2"/>
    </row>
    <row r="62" spans="1:6" x14ac:dyDescent="0.2">
      <c r="A62" t="s">
        <v>129</v>
      </c>
      <c r="B62" t="s">
        <v>121</v>
      </c>
      <c r="C62" t="s">
        <v>125</v>
      </c>
      <c r="D62" t="s">
        <v>165</v>
      </c>
      <c r="E62" s="9">
        <v>15.2775</v>
      </c>
      <c r="F62" s="2"/>
    </row>
    <row r="63" spans="1:6" x14ac:dyDescent="0.2">
      <c r="A63" t="s">
        <v>167</v>
      </c>
      <c r="B63" t="s">
        <v>208</v>
      </c>
      <c r="C63" t="s">
        <v>99</v>
      </c>
      <c r="D63" t="s">
        <v>195</v>
      </c>
      <c r="E63" s="9">
        <v>15.2877499999999</v>
      </c>
      <c r="F63" s="2"/>
    </row>
    <row r="64" spans="1:6" x14ac:dyDescent="0.2">
      <c r="A64" t="s">
        <v>167</v>
      </c>
      <c r="B64" t="s">
        <v>33</v>
      </c>
      <c r="C64" t="s">
        <v>61</v>
      </c>
      <c r="D64" t="s">
        <v>183</v>
      </c>
      <c r="E64" s="9">
        <v>15.39025</v>
      </c>
      <c r="F64" s="2"/>
    </row>
    <row r="65" spans="1:6" x14ac:dyDescent="0.2">
      <c r="A65" t="s">
        <v>167</v>
      </c>
      <c r="B65" t="s">
        <v>33</v>
      </c>
      <c r="C65" t="s">
        <v>34</v>
      </c>
      <c r="D65" t="s">
        <v>174</v>
      </c>
      <c r="E65" s="9">
        <v>15.436</v>
      </c>
      <c r="F65" s="2"/>
    </row>
    <row r="66" spans="1:6" x14ac:dyDescent="0.2">
      <c r="A66" t="s">
        <v>167</v>
      </c>
      <c r="B66" t="s">
        <v>208</v>
      </c>
      <c r="C66" t="s">
        <v>90</v>
      </c>
      <c r="D66" t="s">
        <v>192</v>
      </c>
      <c r="E66" s="9">
        <v>15.454000000000001</v>
      </c>
      <c r="F66" s="2"/>
    </row>
    <row r="67" spans="1:6" x14ac:dyDescent="0.2">
      <c r="A67" t="s">
        <v>129</v>
      </c>
      <c r="B67" t="s">
        <v>208</v>
      </c>
      <c r="C67" t="s">
        <v>84</v>
      </c>
      <c r="D67" t="s">
        <v>152</v>
      </c>
      <c r="E67" s="9">
        <v>15.5045</v>
      </c>
      <c r="F67" s="2"/>
    </row>
    <row r="68" spans="1:6" x14ac:dyDescent="0.2">
      <c r="A68" t="s">
        <v>167</v>
      </c>
      <c r="B68" t="s">
        <v>208</v>
      </c>
      <c r="C68" t="s">
        <v>87</v>
      </c>
      <c r="D68" t="s">
        <v>191</v>
      </c>
      <c r="E68" s="9">
        <v>15.516500000000001</v>
      </c>
      <c r="F68" s="2"/>
    </row>
    <row r="69" spans="1:6" x14ac:dyDescent="0.2">
      <c r="A69" t="s">
        <v>129</v>
      </c>
      <c r="B69" t="s">
        <v>105</v>
      </c>
      <c r="C69" t="s">
        <v>118</v>
      </c>
      <c r="D69" t="s">
        <v>163</v>
      </c>
      <c r="E69" s="9">
        <v>15.667999999999999</v>
      </c>
      <c r="F69" s="2"/>
    </row>
    <row r="70" spans="1:6" x14ac:dyDescent="0.2">
      <c r="A70" t="s">
        <v>129</v>
      </c>
      <c r="B70" t="s">
        <v>33</v>
      </c>
      <c r="C70" t="s">
        <v>49</v>
      </c>
      <c r="D70" t="s">
        <v>141</v>
      </c>
      <c r="E70" s="9">
        <v>15.697749999999999</v>
      </c>
      <c r="F70" s="2"/>
    </row>
    <row r="71" spans="1:6" x14ac:dyDescent="0.2">
      <c r="A71" t="s">
        <v>129</v>
      </c>
      <c r="B71" t="s">
        <v>208</v>
      </c>
      <c r="C71" t="s">
        <v>99</v>
      </c>
      <c r="D71" t="s">
        <v>157</v>
      </c>
      <c r="E71" s="9">
        <v>15.764250000000001</v>
      </c>
      <c r="F71" s="2"/>
    </row>
    <row r="72" spans="1:6" x14ac:dyDescent="0.2">
      <c r="A72" t="s">
        <v>167</v>
      </c>
      <c r="B72" t="s">
        <v>64</v>
      </c>
      <c r="C72" t="s">
        <v>77</v>
      </c>
      <c r="D72" t="s">
        <v>188</v>
      </c>
      <c r="E72" s="9">
        <v>15.777749999999999</v>
      </c>
      <c r="F72" s="2"/>
    </row>
    <row r="73" spans="1:6" x14ac:dyDescent="0.2">
      <c r="A73" t="s">
        <v>167</v>
      </c>
      <c r="B73" t="s">
        <v>14</v>
      </c>
      <c r="C73" t="s">
        <v>18</v>
      </c>
      <c r="D73" t="s">
        <v>169</v>
      </c>
      <c r="E73" s="9">
        <v>15.839499999999999</v>
      </c>
      <c r="F73" s="2"/>
    </row>
    <row r="74" spans="1:6" x14ac:dyDescent="0.2">
      <c r="A74" t="s">
        <v>167</v>
      </c>
      <c r="B74" t="s">
        <v>33</v>
      </c>
      <c r="C74" t="s">
        <v>49</v>
      </c>
      <c r="D74" t="s">
        <v>179</v>
      </c>
      <c r="E74" s="9">
        <v>15.85425</v>
      </c>
      <c r="F74" s="2"/>
    </row>
    <row r="75" spans="1:6" x14ac:dyDescent="0.2">
      <c r="A75" t="s">
        <v>13</v>
      </c>
      <c r="B75" t="s">
        <v>105</v>
      </c>
      <c r="C75" t="s">
        <v>112</v>
      </c>
      <c r="D75" t="s">
        <v>114</v>
      </c>
      <c r="E75" s="9">
        <v>15.9115</v>
      </c>
      <c r="F75" s="2"/>
    </row>
    <row r="76" spans="1:6" x14ac:dyDescent="0.2">
      <c r="A76" t="s">
        <v>129</v>
      </c>
      <c r="B76" t="s">
        <v>14</v>
      </c>
      <c r="C76" t="s">
        <v>30</v>
      </c>
      <c r="D76" t="s">
        <v>135</v>
      </c>
      <c r="E76" s="9">
        <v>15.913500000000001</v>
      </c>
      <c r="F76" s="2"/>
    </row>
    <row r="77" spans="1:6" x14ac:dyDescent="0.2">
      <c r="A77" t="s">
        <v>167</v>
      </c>
      <c r="B77" t="s">
        <v>33</v>
      </c>
      <c r="C77" t="s">
        <v>55</v>
      </c>
      <c r="D77" t="s">
        <v>181</v>
      </c>
      <c r="E77" s="9">
        <v>16.009</v>
      </c>
      <c r="F77" s="2"/>
    </row>
    <row r="78" spans="1:6" x14ac:dyDescent="0.2">
      <c r="A78" t="s">
        <v>167</v>
      </c>
      <c r="B78" t="s">
        <v>33</v>
      </c>
      <c r="C78" t="s">
        <v>40</v>
      </c>
      <c r="D78" t="s">
        <v>176</v>
      </c>
      <c r="E78" s="9">
        <v>16.094749999999902</v>
      </c>
      <c r="F78" s="2"/>
    </row>
    <row r="79" spans="1:6" x14ac:dyDescent="0.2">
      <c r="A79" t="s">
        <v>13</v>
      </c>
      <c r="B79" t="s">
        <v>14</v>
      </c>
      <c r="C79" t="s">
        <v>18</v>
      </c>
      <c r="D79" t="s">
        <v>20</v>
      </c>
      <c r="E79" s="9">
        <v>16.105249999999899</v>
      </c>
      <c r="F79" s="2"/>
    </row>
    <row r="80" spans="1:6" x14ac:dyDescent="0.2">
      <c r="A80" t="s">
        <v>129</v>
      </c>
      <c r="B80" t="s">
        <v>33</v>
      </c>
      <c r="C80" t="s">
        <v>34</v>
      </c>
      <c r="D80" t="s">
        <v>136</v>
      </c>
      <c r="E80" s="9">
        <v>16.193249999999999</v>
      </c>
      <c r="F80" s="2"/>
    </row>
    <row r="81" spans="1:6" x14ac:dyDescent="0.2">
      <c r="A81" t="s">
        <v>167</v>
      </c>
      <c r="B81" t="s">
        <v>64</v>
      </c>
      <c r="C81" t="s">
        <v>71</v>
      </c>
      <c r="D81" t="s">
        <v>186</v>
      </c>
      <c r="E81" s="9">
        <v>16.220749999999999</v>
      </c>
      <c r="F81" s="2"/>
    </row>
    <row r="82" spans="1:6" x14ac:dyDescent="0.2">
      <c r="A82" t="s">
        <v>13</v>
      </c>
      <c r="B82" t="s">
        <v>14</v>
      </c>
      <c r="C82" t="s">
        <v>27</v>
      </c>
      <c r="D82" t="s">
        <v>29</v>
      </c>
      <c r="E82" s="9">
        <v>16.416499999999999</v>
      </c>
      <c r="F82" s="2"/>
    </row>
    <row r="83" spans="1:6" x14ac:dyDescent="0.2">
      <c r="A83" t="s">
        <v>13</v>
      </c>
      <c r="B83" t="s">
        <v>208</v>
      </c>
      <c r="C83" t="s">
        <v>90</v>
      </c>
      <c r="D83" t="s">
        <v>92</v>
      </c>
      <c r="E83" s="9">
        <v>16.420749999999899</v>
      </c>
      <c r="F83" s="2"/>
    </row>
    <row r="84" spans="1:6" x14ac:dyDescent="0.2">
      <c r="A84" t="s">
        <v>167</v>
      </c>
      <c r="B84" t="s">
        <v>105</v>
      </c>
      <c r="C84" t="s">
        <v>118</v>
      </c>
      <c r="D84" t="s">
        <v>201</v>
      </c>
      <c r="E84" s="9">
        <v>16.508749999999999</v>
      </c>
      <c r="F84" s="2"/>
    </row>
    <row r="85" spans="1:6" x14ac:dyDescent="0.2">
      <c r="A85" t="s">
        <v>129</v>
      </c>
      <c r="B85" t="s">
        <v>33</v>
      </c>
      <c r="C85" t="s">
        <v>58</v>
      </c>
      <c r="D85" t="s">
        <v>144</v>
      </c>
      <c r="E85" s="9">
        <v>16.52</v>
      </c>
      <c r="F85" s="2"/>
    </row>
    <row r="86" spans="1:6" x14ac:dyDescent="0.2">
      <c r="A86" t="s">
        <v>167</v>
      </c>
      <c r="B86" t="s">
        <v>208</v>
      </c>
      <c r="C86" t="s">
        <v>93</v>
      </c>
      <c r="D86" t="s">
        <v>193</v>
      </c>
      <c r="E86" s="9">
        <v>16.611999999999998</v>
      </c>
      <c r="F86" s="2"/>
    </row>
    <row r="87" spans="1:6" x14ac:dyDescent="0.2">
      <c r="A87" t="s">
        <v>167</v>
      </c>
      <c r="B87" t="s">
        <v>105</v>
      </c>
      <c r="C87" t="s">
        <v>112</v>
      </c>
      <c r="D87" t="s">
        <v>199</v>
      </c>
      <c r="E87" s="9">
        <v>16.789000000000001</v>
      </c>
      <c r="F87" s="2"/>
    </row>
    <row r="88" spans="1:6" x14ac:dyDescent="0.2">
      <c r="A88" t="s">
        <v>129</v>
      </c>
      <c r="B88" t="s">
        <v>64</v>
      </c>
      <c r="C88" t="s">
        <v>71</v>
      </c>
      <c r="D88" t="s">
        <v>148</v>
      </c>
      <c r="E88" s="9">
        <v>16.8855</v>
      </c>
      <c r="F88" s="2"/>
    </row>
    <row r="89" spans="1:6" x14ac:dyDescent="0.2">
      <c r="A89" t="s">
        <v>129</v>
      </c>
      <c r="B89" t="s">
        <v>105</v>
      </c>
      <c r="C89" t="s">
        <v>112</v>
      </c>
      <c r="D89" t="s">
        <v>161</v>
      </c>
      <c r="E89" s="9">
        <v>16.906500000000001</v>
      </c>
      <c r="F89" s="2"/>
    </row>
    <row r="90" spans="1:6" x14ac:dyDescent="0.2">
      <c r="A90" t="s">
        <v>129</v>
      </c>
      <c r="B90" t="s">
        <v>121</v>
      </c>
      <c r="C90" t="s">
        <v>122</v>
      </c>
      <c r="D90" t="s">
        <v>164</v>
      </c>
      <c r="E90" s="9">
        <v>16.907499999999999</v>
      </c>
      <c r="F90" s="2"/>
    </row>
    <row r="91" spans="1:6" x14ac:dyDescent="0.2">
      <c r="A91" t="s">
        <v>129</v>
      </c>
      <c r="B91" t="s">
        <v>208</v>
      </c>
      <c r="C91" t="s">
        <v>81</v>
      </c>
      <c r="D91" t="s">
        <v>151</v>
      </c>
      <c r="E91" s="9">
        <v>16.92475</v>
      </c>
      <c r="F91" s="2"/>
    </row>
    <row r="92" spans="1:6" x14ac:dyDescent="0.2">
      <c r="A92" t="s">
        <v>167</v>
      </c>
      <c r="B92" t="s">
        <v>33</v>
      </c>
      <c r="C92" t="s">
        <v>46</v>
      </c>
      <c r="D92" t="s">
        <v>178</v>
      </c>
      <c r="E92" s="9">
        <v>17.0105</v>
      </c>
      <c r="F92" s="2"/>
    </row>
    <row r="93" spans="1:6" x14ac:dyDescent="0.2">
      <c r="A93" t="s">
        <v>129</v>
      </c>
      <c r="B93" t="s">
        <v>208</v>
      </c>
      <c r="C93" t="s">
        <v>87</v>
      </c>
      <c r="D93" t="s">
        <v>153</v>
      </c>
      <c r="E93" s="9">
        <v>17.142499999999998</v>
      </c>
      <c r="F93" s="2"/>
    </row>
    <row r="94" spans="1:6" x14ac:dyDescent="0.2">
      <c r="A94" t="s">
        <v>13</v>
      </c>
      <c r="B94" t="s">
        <v>208</v>
      </c>
      <c r="C94" t="s">
        <v>102</v>
      </c>
      <c r="D94" t="s">
        <v>104</v>
      </c>
      <c r="E94" s="9">
        <v>17.271249999999998</v>
      </c>
      <c r="F94" s="2"/>
    </row>
    <row r="95" spans="1:6" x14ac:dyDescent="0.2">
      <c r="A95" t="s">
        <v>167</v>
      </c>
      <c r="B95" t="s">
        <v>64</v>
      </c>
      <c r="C95" t="s">
        <v>74</v>
      </c>
      <c r="D95" t="s">
        <v>187</v>
      </c>
      <c r="E95" s="9">
        <v>17.496749999999999</v>
      </c>
      <c r="F95" s="2"/>
    </row>
    <row r="96" spans="1:6" x14ac:dyDescent="0.2">
      <c r="A96" t="s">
        <v>167</v>
      </c>
      <c r="B96" t="s">
        <v>33</v>
      </c>
      <c r="C96" t="s">
        <v>43</v>
      </c>
      <c r="D96" t="s">
        <v>177</v>
      </c>
      <c r="E96" s="9">
        <v>17.789000000000001</v>
      </c>
      <c r="F96" s="2"/>
    </row>
    <row r="97" spans="1:6" x14ac:dyDescent="0.2">
      <c r="A97" t="s">
        <v>167</v>
      </c>
      <c r="B97" t="s">
        <v>105</v>
      </c>
      <c r="C97" t="s">
        <v>115</v>
      </c>
      <c r="D97" t="s">
        <v>200</v>
      </c>
      <c r="E97" s="9">
        <v>17.940750000000001</v>
      </c>
      <c r="F97" s="2"/>
    </row>
    <row r="98" spans="1:6" x14ac:dyDescent="0.2">
      <c r="A98" t="s">
        <v>129</v>
      </c>
      <c r="B98" t="s">
        <v>33</v>
      </c>
      <c r="C98" t="s">
        <v>52</v>
      </c>
      <c r="D98" t="s">
        <v>142</v>
      </c>
      <c r="E98" s="9">
        <v>18.072749999999999</v>
      </c>
      <c r="F98" s="2"/>
    </row>
    <row r="99" spans="1:6" x14ac:dyDescent="0.2">
      <c r="A99" t="s">
        <v>129</v>
      </c>
      <c r="B99" t="s">
        <v>33</v>
      </c>
      <c r="C99" t="s">
        <v>43</v>
      </c>
      <c r="D99" t="s">
        <v>139</v>
      </c>
      <c r="E99" s="9">
        <v>18.178999999999998</v>
      </c>
      <c r="F99" s="2"/>
    </row>
    <row r="100" spans="1:6" x14ac:dyDescent="0.2">
      <c r="A100" t="s">
        <v>167</v>
      </c>
      <c r="B100" t="s">
        <v>14</v>
      </c>
      <c r="C100" t="s">
        <v>30</v>
      </c>
      <c r="D100" t="s">
        <v>173</v>
      </c>
      <c r="E100" s="9">
        <v>18.265000000000001</v>
      </c>
      <c r="F100" s="2"/>
    </row>
    <row r="101" spans="1:6" x14ac:dyDescent="0.2">
      <c r="A101" t="s">
        <v>13</v>
      </c>
      <c r="B101" t="s">
        <v>208</v>
      </c>
      <c r="C101" t="s">
        <v>99</v>
      </c>
      <c r="D101" t="s">
        <v>101</v>
      </c>
      <c r="E101" s="9">
        <v>18.452750000000002</v>
      </c>
      <c r="F101" s="2"/>
    </row>
    <row r="102" spans="1:6" x14ac:dyDescent="0.2">
      <c r="A102" t="s">
        <v>167</v>
      </c>
      <c r="B102" t="s">
        <v>14</v>
      </c>
      <c r="C102" t="s">
        <v>27</v>
      </c>
      <c r="D102" t="s">
        <v>172</v>
      </c>
      <c r="E102" s="9">
        <v>18.791249999999899</v>
      </c>
      <c r="F102" s="2"/>
    </row>
    <row r="103" spans="1:6" x14ac:dyDescent="0.2">
      <c r="A103" t="s">
        <v>167</v>
      </c>
      <c r="B103" t="s">
        <v>208</v>
      </c>
      <c r="C103" t="s">
        <v>84</v>
      </c>
      <c r="D103" t="s">
        <v>190</v>
      </c>
      <c r="E103" s="9">
        <v>18.935499999999902</v>
      </c>
      <c r="F103" s="2"/>
    </row>
    <row r="104" spans="1:6" x14ac:dyDescent="0.2">
      <c r="A104" t="s">
        <v>167</v>
      </c>
      <c r="B104" t="s">
        <v>33</v>
      </c>
      <c r="C104" t="s">
        <v>58</v>
      </c>
      <c r="D104" t="s">
        <v>182</v>
      </c>
      <c r="E104" s="9">
        <v>19.115749999999998</v>
      </c>
      <c r="F104" s="2"/>
    </row>
    <row r="105" spans="1:6" x14ac:dyDescent="0.2">
      <c r="A105" t="s">
        <v>13</v>
      </c>
      <c r="B105" t="s">
        <v>33</v>
      </c>
      <c r="C105" t="s">
        <v>46</v>
      </c>
      <c r="D105" t="s">
        <v>48</v>
      </c>
      <c r="E105" s="9">
        <v>20.1785</v>
      </c>
      <c r="F105" s="2"/>
    </row>
    <row r="106" spans="1:6" x14ac:dyDescent="0.2">
      <c r="A106" t="s">
        <v>167</v>
      </c>
      <c r="B106" t="s">
        <v>121</v>
      </c>
      <c r="C106" t="s">
        <v>122</v>
      </c>
      <c r="D106" t="s">
        <v>202</v>
      </c>
      <c r="E106" s="9">
        <v>22.345500000000001</v>
      </c>
      <c r="F106" s="2"/>
    </row>
    <row r="107" spans="1:6" x14ac:dyDescent="0.2">
      <c r="A107" t="s">
        <v>13</v>
      </c>
      <c r="B107" t="s">
        <v>208</v>
      </c>
      <c r="C107" t="s">
        <v>84</v>
      </c>
      <c r="D107" t="s">
        <v>86</v>
      </c>
      <c r="E107" s="9">
        <v>22.97625</v>
      </c>
      <c r="F107" s="2"/>
    </row>
    <row r="108" spans="1:6" x14ac:dyDescent="0.2">
      <c r="A108" t="s">
        <v>167</v>
      </c>
      <c r="B108" t="s">
        <v>208</v>
      </c>
      <c r="C108" t="s">
        <v>96</v>
      </c>
      <c r="D108" t="s">
        <v>194</v>
      </c>
      <c r="E108" s="9">
        <v>23.586749999999999</v>
      </c>
      <c r="F108" s="2"/>
    </row>
    <row r="109" spans="1:6" x14ac:dyDescent="0.2">
      <c r="A109" t="s">
        <v>167</v>
      </c>
      <c r="B109" t="s">
        <v>121</v>
      </c>
      <c r="C109" t="s">
        <v>125</v>
      </c>
      <c r="D109" t="s">
        <v>203</v>
      </c>
      <c r="E109" s="9">
        <v>33.482749999999903</v>
      </c>
      <c r="F109" s="2"/>
    </row>
  </sheetData>
  <autoFilter ref="A1:E109" xr:uid="{E0E5CB05-8D2D-3042-A77F-FEA429E0DC5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0FAC4-EFAA-A54D-A6EC-66CB947BD19F}">
  <sheetPr filterMode="1"/>
  <dimension ref="A1:J588"/>
  <sheetViews>
    <sheetView workbookViewId="0">
      <selection activeCell="J586" sqref="J586"/>
    </sheetView>
  </sheetViews>
  <sheetFormatPr baseColWidth="10" defaultRowHeight="17" customHeight="1" x14ac:dyDescent="0.2"/>
  <cols>
    <col min="1" max="1" width="26.1640625" bestFit="1" customWidth="1"/>
    <col min="2" max="2" width="11.5" bestFit="1" customWidth="1"/>
    <col min="3" max="3" width="62.83203125" bestFit="1" customWidth="1"/>
    <col min="4" max="4" width="255.83203125" style="1" hidden="1" customWidth="1"/>
    <col min="5" max="5" width="24.5" bestFit="1" customWidth="1"/>
    <col min="6" max="6" width="8.33203125" bestFit="1" customWidth="1"/>
    <col min="8" max="8" width="26.1640625" bestFit="1" customWidth="1"/>
  </cols>
  <sheetData>
    <row r="1" spans="1:10" ht="17" customHeight="1" x14ac:dyDescent="0.2">
      <c r="A1" t="s">
        <v>1</v>
      </c>
      <c r="B1" t="s">
        <v>2</v>
      </c>
      <c r="C1" t="s">
        <v>3</v>
      </c>
      <c r="D1" s="1" t="s">
        <v>206</v>
      </c>
      <c r="E1" t="s">
        <v>209</v>
      </c>
      <c r="F1" t="s">
        <v>207</v>
      </c>
    </row>
    <row r="2" spans="1:10" ht="17" hidden="1" customHeight="1" x14ac:dyDescent="0.2">
      <c r="A2" t="s">
        <v>13</v>
      </c>
      <c r="B2" t="s">
        <v>14</v>
      </c>
      <c r="C2" t="s">
        <v>15</v>
      </c>
      <c r="D2" s="1" t="s">
        <v>17</v>
      </c>
      <c r="E2" t="s">
        <v>210</v>
      </c>
      <c r="F2">
        <v>11.208</v>
      </c>
      <c r="G2" s="2"/>
      <c r="H2" s="2" t="str" cm="1">
        <f t="array" ref="H2:H7">_xlfn.UNIQUE(A:A)</f>
        <v>Model</v>
      </c>
    </row>
    <row r="3" spans="1:10" ht="17" hidden="1" customHeight="1" x14ac:dyDescent="0.2">
      <c r="A3" t="s">
        <v>13</v>
      </c>
      <c r="B3" t="s">
        <v>14</v>
      </c>
      <c r="C3" t="s">
        <v>18</v>
      </c>
      <c r="D3" s="1" t="s">
        <v>20</v>
      </c>
      <c r="E3" t="s">
        <v>210</v>
      </c>
      <c r="F3">
        <v>18.244</v>
      </c>
      <c r="G3" s="2"/>
      <c r="H3" t="str">
        <v>Gemini 3 Pro</v>
      </c>
      <c r="I3" s="2">
        <f>AVERAGEIF(A:A,H3,F:F)</f>
        <v>13.755611111111113</v>
      </c>
      <c r="J3" s="16">
        <f>I3-$I$6</f>
        <v>0.61122222222222078</v>
      </c>
    </row>
    <row r="4" spans="1:10" ht="17" hidden="1" customHeight="1" x14ac:dyDescent="0.2">
      <c r="A4" t="s">
        <v>13</v>
      </c>
      <c r="B4" t="s">
        <v>14</v>
      </c>
      <c r="C4" t="s">
        <v>21</v>
      </c>
      <c r="D4" s="1" t="s">
        <v>23</v>
      </c>
      <c r="E4" t="s">
        <v>210</v>
      </c>
      <c r="F4">
        <v>13.023999999999999</v>
      </c>
      <c r="G4" s="2"/>
      <c r="H4" t="str">
        <v>ChatGPT 5.2 Extended Thinking</v>
      </c>
      <c r="I4" s="2">
        <f t="shared" ref="I4:I6" si="0">AVERAGEIF(A:A,H4,F:F)</f>
        <v>14.798624999999999</v>
      </c>
      <c r="J4" s="16">
        <f t="shared" ref="J4:J5" si="1">I4-$I$6</f>
        <v>1.654236111111107</v>
      </c>
    </row>
    <row r="5" spans="1:10" ht="17" hidden="1" customHeight="1" x14ac:dyDescent="0.2">
      <c r="A5" t="s">
        <v>13</v>
      </c>
      <c r="B5" t="s">
        <v>14</v>
      </c>
      <c r="C5" t="s">
        <v>24</v>
      </c>
      <c r="D5" s="1" t="s">
        <v>26</v>
      </c>
      <c r="E5" t="s">
        <v>210</v>
      </c>
      <c r="F5">
        <v>11.208</v>
      </c>
      <c r="G5" s="2"/>
      <c r="H5" t="str">
        <v>Claude Opus 4.6 Reasoning</v>
      </c>
      <c r="I5" s="2">
        <f t="shared" si="0"/>
        <v>16.713576388888885</v>
      </c>
      <c r="J5" s="16">
        <f t="shared" si="1"/>
        <v>3.5691874999999929</v>
      </c>
    </row>
    <row r="6" spans="1:10" ht="17" hidden="1" customHeight="1" x14ac:dyDescent="0.2">
      <c r="A6" t="s">
        <v>13</v>
      </c>
      <c r="B6" t="s">
        <v>14</v>
      </c>
      <c r="C6" t="s">
        <v>27</v>
      </c>
      <c r="D6" s="1" t="s">
        <v>29</v>
      </c>
      <c r="E6" t="s">
        <v>210</v>
      </c>
      <c r="F6">
        <v>15.247999999999999</v>
      </c>
      <c r="G6" s="2"/>
      <c r="H6" t="str">
        <v>Human</v>
      </c>
      <c r="I6" s="2">
        <f t="shared" si="0"/>
        <v>13.144388888888892</v>
      </c>
    </row>
    <row r="7" spans="1:10" ht="17" hidden="1" customHeight="1" x14ac:dyDescent="0.2">
      <c r="A7" t="s">
        <v>13</v>
      </c>
      <c r="B7" t="s">
        <v>14</v>
      </c>
      <c r="C7" t="s">
        <v>30</v>
      </c>
      <c r="D7" s="1" t="s">
        <v>32</v>
      </c>
      <c r="E7" t="s">
        <v>210</v>
      </c>
      <c r="F7">
        <v>14.068</v>
      </c>
      <c r="G7" s="2"/>
      <c r="H7">
        <v>0</v>
      </c>
      <c r="I7" s="2"/>
    </row>
    <row r="8" spans="1:10" ht="17" hidden="1" customHeight="1" x14ac:dyDescent="0.2">
      <c r="A8" t="s">
        <v>13</v>
      </c>
      <c r="B8" t="s">
        <v>33</v>
      </c>
      <c r="C8" t="s">
        <v>34</v>
      </c>
      <c r="D8" s="1" t="s">
        <v>36</v>
      </c>
      <c r="E8" t="s">
        <v>210</v>
      </c>
      <c r="F8">
        <v>13.817</v>
      </c>
      <c r="G8" s="2"/>
      <c r="I8" s="2"/>
    </row>
    <row r="9" spans="1:10" ht="17" hidden="1" customHeight="1" x14ac:dyDescent="0.2">
      <c r="A9" t="s">
        <v>13</v>
      </c>
      <c r="B9" t="s">
        <v>33</v>
      </c>
      <c r="C9" t="s">
        <v>37</v>
      </c>
      <c r="D9" s="1" t="s">
        <v>39</v>
      </c>
      <c r="E9" t="s">
        <v>210</v>
      </c>
      <c r="F9">
        <v>14.555</v>
      </c>
      <c r="G9" s="2"/>
    </row>
    <row r="10" spans="1:10" ht="17" hidden="1" customHeight="1" x14ac:dyDescent="0.2">
      <c r="A10" t="s">
        <v>13</v>
      </c>
      <c r="B10" t="s">
        <v>33</v>
      </c>
      <c r="C10" t="s">
        <v>40</v>
      </c>
      <c r="D10" s="1" t="s">
        <v>42</v>
      </c>
      <c r="E10" t="s">
        <v>210</v>
      </c>
      <c r="F10">
        <v>13.817</v>
      </c>
      <c r="G10" s="2"/>
    </row>
    <row r="11" spans="1:10" ht="17" hidden="1" customHeight="1" x14ac:dyDescent="0.2">
      <c r="A11" t="s">
        <v>13</v>
      </c>
      <c r="B11" t="s">
        <v>33</v>
      </c>
      <c r="C11" t="s">
        <v>43</v>
      </c>
      <c r="D11" s="1" t="s">
        <v>45</v>
      </c>
      <c r="E11" t="s">
        <v>210</v>
      </c>
      <c r="F11">
        <v>14.555</v>
      </c>
      <c r="G11" s="2"/>
      <c r="H11" s="5"/>
    </row>
    <row r="12" spans="1:10" ht="17" hidden="1" customHeight="1" x14ac:dyDescent="0.2">
      <c r="A12" t="s">
        <v>13</v>
      </c>
      <c r="B12" t="s">
        <v>33</v>
      </c>
      <c r="C12" t="s">
        <v>46</v>
      </c>
      <c r="D12" s="1" t="s">
        <v>48</v>
      </c>
      <c r="E12" t="s">
        <v>210</v>
      </c>
      <c r="F12">
        <v>20.736999999999998</v>
      </c>
      <c r="G12" s="2"/>
    </row>
    <row r="13" spans="1:10" ht="17" hidden="1" customHeight="1" x14ac:dyDescent="0.2">
      <c r="A13" t="s">
        <v>13</v>
      </c>
      <c r="B13" t="s">
        <v>33</v>
      </c>
      <c r="C13" t="s">
        <v>49</v>
      </c>
      <c r="D13" s="1" t="s">
        <v>51</v>
      </c>
      <c r="E13" t="s">
        <v>210</v>
      </c>
      <c r="F13">
        <v>17.122</v>
      </c>
      <c r="G13" s="2"/>
    </row>
    <row r="14" spans="1:10" ht="17" hidden="1" customHeight="1" x14ac:dyDescent="0.2">
      <c r="A14" t="s">
        <v>13</v>
      </c>
      <c r="B14" t="s">
        <v>33</v>
      </c>
      <c r="C14" t="s">
        <v>52</v>
      </c>
      <c r="D14" s="1" t="s">
        <v>54</v>
      </c>
      <c r="E14" t="s">
        <v>210</v>
      </c>
      <c r="F14">
        <v>13.023999999999999</v>
      </c>
      <c r="G14" s="2"/>
    </row>
    <row r="15" spans="1:10" ht="17" hidden="1" customHeight="1" x14ac:dyDescent="0.2">
      <c r="A15" t="s">
        <v>13</v>
      </c>
      <c r="B15" t="s">
        <v>33</v>
      </c>
      <c r="C15" t="s">
        <v>55</v>
      </c>
      <c r="D15" s="1" t="s">
        <v>57</v>
      </c>
      <c r="E15" t="s">
        <v>210</v>
      </c>
      <c r="F15">
        <v>11.208</v>
      </c>
      <c r="G15" s="2"/>
    </row>
    <row r="16" spans="1:10" ht="17" customHeight="1" x14ac:dyDescent="0.2">
      <c r="A16" t="s">
        <v>13</v>
      </c>
      <c r="B16" t="s">
        <v>33</v>
      </c>
      <c r="C16" t="s">
        <v>58</v>
      </c>
      <c r="D16" s="1" t="s">
        <v>60</v>
      </c>
      <c r="E16" t="s">
        <v>210</v>
      </c>
      <c r="F16">
        <v>14.555</v>
      </c>
      <c r="G16" s="2"/>
    </row>
    <row r="17" spans="1:7" ht="17" hidden="1" customHeight="1" x14ac:dyDescent="0.2">
      <c r="A17" t="s">
        <v>13</v>
      </c>
      <c r="B17" t="s">
        <v>33</v>
      </c>
      <c r="C17" t="s">
        <v>61</v>
      </c>
      <c r="D17" s="1" t="s">
        <v>63</v>
      </c>
      <c r="E17" t="s">
        <v>210</v>
      </c>
      <c r="F17">
        <v>8.8420000000000005</v>
      </c>
      <c r="G17" s="2"/>
    </row>
    <row r="18" spans="1:7" ht="17" hidden="1" customHeight="1" x14ac:dyDescent="0.2">
      <c r="A18" t="s">
        <v>13</v>
      </c>
      <c r="B18" t="s">
        <v>64</v>
      </c>
      <c r="C18" t="s">
        <v>65</v>
      </c>
      <c r="D18" s="1" t="s">
        <v>67</v>
      </c>
      <c r="E18" t="s">
        <v>210</v>
      </c>
      <c r="F18">
        <v>13.817</v>
      </c>
      <c r="G18" s="2"/>
    </row>
    <row r="19" spans="1:7" ht="17" hidden="1" customHeight="1" x14ac:dyDescent="0.2">
      <c r="A19" t="s">
        <v>13</v>
      </c>
      <c r="B19" t="s">
        <v>64</v>
      </c>
      <c r="C19" t="s">
        <v>68</v>
      </c>
      <c r="D19" s="1" t="s">
        <v>70</v>
      </c>
      <c r="E19" t="s">
        <v>210</v>
      </c>
      <c r="F19">
        <v>13.817</v>
      </c>
      <c r="G19" s="2"/>
    </row>
    <row r="20" spans="1:7" ht="17" hidden="1" customHeight="1" x14ac:dyDescent="0.2">
      <c r="A20" t="s">
        <v>13</v>
      </c>
      <c r="B20" t="s">
        <v>64</v>
      </c>
      <c r="C20" t="s">
        <v>71</v>
      </c>
      <c r="D20" s="1" t="s">
        <v>73</v>
      </c>
      <c r="E20" t="s">
        <v>210</v>
      </c>
      <c r="F20">
        <v>11.208</v>
      </c>
      <c r="G20" s="2"/>
    </row>
    <row r="21" spans="1:7" ht="17" hidden="1" customHeight="1" x14ac:dyDescent="0.2">
      <c r="A21" t="s">
        <v>13</v>
      </c>
      <c r="B21" t="s">
        <v>64</v>
      </c>
      <c r="C21" t="s">
        <v>74</v>
      </c>
      <c r="D21" s="1" t="s">
        <v>76</v>
      </c>
      <c r="E21" t="s">
        <v>210</v>
      </c>
      <c r="F21">
        <v>13.023999999999999</v>
      </c>
      <c r="G21" s="2"/>
    </row>
    <row r="22" spans="1:7" ht="17" hidden="1" customHeight="1" x14ac:dyDescent="0.2">
      <c r="A22" t="s">
        <v>13</v>
      </c>
      <c r="B22" t="s">
        <v>64</v>
      </c>
      <c r="C22" t="s">
        <v>77</v>
      </c>
      <c r="D22" s="1" t="s">
        <v>79</v>
      </c>
      <c r="E22" t="s">
        <v>210</v>
      </c>
      <c r="F22">
        <v>12.458</v>
      </c>
      <c r="G22" s="2"/>
    </row>
    <row r="23" spans="1:7" ht="17" hidden="1" customHeight="1" x14ac:dyDescent="0.2">
      <c r="A23" t="s">
        <v>13</v>
      </c>
      <c r="B23" t="s">
        <v>80</v>
      </c>
      <c r="C23" t="s">
        <v>81</v>
      </c>
      <c r="D23" s="1" t="s">
        <v>83</v>
      </c>
      <c r="E23" t="s">
        <v>210</v>
      </c>
      <c r="F23">
        <v>13.023999999999999</v>
      </c>
      <c r="G23" s="2"/>
    </row>
    <row r="24" spans="1:7" ht="17" hidden="1" customHeight="1" x14ac:dyDescent="0.2">
      <c r="A24" t="s">
        <v>13</v>
      </c>
      <c r="B24" t="s">
        <v>80</v>
      </c>
      <c r="C24" t="s">
        <v>84</v>
      </c>
      <c r="D24" s="1" t="s">
        <v>86</v>
      </c>
      <c r="E24" t="s">
        <v>210</v>
      </c>
      <c r="F24">
        <v>20.266999999999999</v>
      </c>
      <c r="G24" s="2"/>
    </row>
    <row r="25" spans="1:7" ht="17" hidden="1" customHeight="1" x14ac:dyDescent="0.2">
      <c r="A25" t="s">
        <v>13</v>
      </c>
      <c r="B25" t="s">
        <v>80</v>
      </c>
      <c r="C25" t="s">
        <v>87</v>
      </c>
      <c r="D25" s="1" t="s">
        <v>89</v>
      </c>
      <c r="E25" t="s">
        <v>210</v>
      </c>
      <c r="F25">
        <v>14.555</v>
      </c>
      <c r="G25" s="2"/>
    </row>
    <row r="26" spans="1:7" ht="17" hidden="1" customHeight="1" x14ac:dyDescent="0.2">
      <c r="A26" t="s">
        <v>13</v>
      </c>
      <c r="B26" t="s">
        <v>80</v>
      </c>
      <c r="C26" t="s">
        <v>90</v>
      </c>
      <c r="D26" s="1" t="s">
        <v>92</v>
      </c>
      <c r="E26" t="s">
        <v>210</v>
      </c>
      <c r="F26">
        <v>15.247999999999999</v>
      </c>
      <c r="G26" s="2"/>
    </row>
    <row r="27" spans="1:7" ht="17" hidden="1" customHeight="1" x14ac:dyDescent="0.2">
      <c r="A27" t="s">
        <v>13</v>
      </c>
      <c r="B27" t="s">
        <v>80</v>
      </c>
      <c r="C27" t="s">
        <v>93</v>
      </c>
      <c r="D27" s="1" t="s">
        <v>95</v>
      </c>
      <c r="E27" t="s">
        <v>210</v>
      </c>
      <c r="F27">
        <v>11.208</v>
      </c>
      <c r="G27" s="2"/>
    </row>
    <row r="28" spans="1:7" ht="17" hidden="1" customHeight="1" x14ac:dyDescent="0.2">
      <c r="A28" t="s">
        <v>13</v>
      </c>
      <c r="B28" t="s">
        <v>80</v>
      </c>
      <c r="C28" t="s">
        <v>96</v>
      </c>
      <c r="D28" s="1" t="s">
        <v>98</v>
      </c>
      <c r="E28" t="s">
        <v>210</v>
      </c>
      <c r="F28">
        <v>12.458</v>
      </c>
      <c r="G28" s="2"/>
    </row>
    <row r="29" spans="1:7" ht="17" hidden="1" customHeight="1" x14ac:dyDescent="0.2">
      <c r="A29" t="s">
        <v>13</v>
      </c>
      <c r="B29" t="s">
        <v>80</v>
      </c>
      <c r="C29" t="s">
        <v>99</v>
      </c>
      <c r="D29" s="1" t="s">
        <v>101</v>
      </c>
      <c r="E29" t="s">
        <v>210</v>
      </c>
      <c r="F29">
        <v>18.244</v>
      </c>
      <c r="G29" s="2"/>
    </row>
    <row r="30" spans="1:7" ht="17" hidden="1" customHeight="1" x14ac:dyDescent="0.2">
      <c r="A30" t="s">
        <v>13</v>
      </c>
      <c r="B30" t="s">
        <v>80</v>
      </c>
      <c r="C30" t="s">
        <v>102</v>
      </c>
      <c r="D30" s="1" t="s">
        <v>104</v>
      </c>
      <c r="E30" t="s">
        <v>210</v>
      </c>
      <c r="F30">
        <v>18.244</v>
      </c>
      <c r="G30" s="2"/>
    </row>
    <row r="31" spans="1:7" ht="17" hidden="1" customHeight="1" x14ac:dyDescent="0.2">
      <c r="A31" t="s">
        <v>13</v>
      </c>
      <c r="B31" t="s">
        <v>105</v>
      </c>
      <c r="C31" t="s">
        <v>106</v>
      </c>
      <c r="D31" s="1" t="s">
        <v>108</v>
      </c>
      <c r="E31" t="s">
        <v>210</v>
      </c>
      <c r="F31">
        <v>15.903</v>
      </c>
      <c r="G31" s="2"/>
    </row>
    <row r="32" spans="1:7" ht="17" hidden="1" customHeight="1" x14ac:dyDescent="0.2">
      <c r="A32" t="s">
        <v>13</v>
      </c>
      <c r="B32" t="s">
        <v>105</v>
      </c>
      <c r="C32" t="s">
        <v>109</v>
      </c>
      <c r="D32" s="1" t="s">
        <v>111</v>
      </c>
      <c r="E32" t="s">
        <v>210</v>
      </c>
      <c r="F32">
        <v>8.8420000000000005</v>
      </c>
      <c r="G32" s="2"/>
    </row>
    <row r="33" spans="1:7" ht="17" hidden="1" customHeight="1" x14ac:dyDescent="0.2">
      <c r="A33" t="s">
        <v>13</v>
      </c>
      <c r="B33" t="s">
        <v>105</v>
      </c>
      <c r="C33" t="s">
        <v>112</v>
      </c>
      <c r="D33" s="1" t="s">
        <v>114</v>
      </c>
      <c r="E33" t="s">
        <v>210</v>
      </c>
      <c r="F33">
        <v>15.247999999999999</v>
      </c>
      <c r="G33" s="2"/>
    </row>
    <row r="34" spans="1:7" ht="17" hidden="1" customHeight="1" x14ac:dyDescent="0.2">
      <c r="A34" t="s">
        <v>13</v>
      </c>
      <c r="B34" t="s">
        <v>105</v>
      </c>
      <c r="C34" t="s">
        <v>115</v>
      </c>
      <c r="D34" s="1" t="s">
        <v>117</v>
      </c>
      <c r="E34" t="s">
        <v>210</v>
      </c>
      <c r="F34">
        <v>15.903</v>
      </c>
      <c r="G34" s="2"/>
    </row>
    <row r="35" spans="1:7" ht="17" hidden="1" customHeight="1" x14ac:dyDescent="0.2">
      <c r="A35" t="s">
        <v>13</v>
      </c>
      <c r="B35" t="s">
        <v>105</v>
      </c>
      <c r="C35" t="s">
        <v>118</v>
      </c>
      <c r="D35" s="1" t="s">
        <v>120</v>
      </c>
      <c r="E35" t="s">
        <v>210</v>
      </c>
      <c r="F35">
        <v>13.023999999999999</v>
      </c>
      <c r="G35" s="2"/>
    </row>
    <row r="36" spans="1:7" ht="17" hidden="1" customHeight="1" x14ac:dyDescent="0.2">
      <c r="A36" t="s">
        <v>13</v>
      </c>
      <c r="B36" t="s">
        <v>121</v>
      </c>
      <c r="C36" t="s">
        <v>122</v>
      </c>
      <c r="D36" s="1" t="s">
        <v>124</v>
      </c>
      <c r="E36" t="s">
        <v>210</v>
      </c>
      <c r="F36">
        <v>9.516</v>
      </c>
      <c r="G36" s="2"/>
    </row>
    <row r="37" spans="1:7" ht="17" hidden="1" customHeight="1" x14ac:dyDescent="0.2">
      <c r="A37" t="s">
        <v>13</v>
      </c>
      <c r="B37" t="s">
        <v>121</v>
      </c>
      <c r="C37" t="s">
        <v>125</v>
      </c>
      <c r="D37" s="1" t="s">
        <v>127</v>
      </c>
      <c r="E37" t="s">
        <v>210</v>
      </c>
      <c r="F37">
        <v>9.516</v>
      </c>
      <c r="G37" s="2"/>
    </row>
    <row r="38" spans="1:7" ht="17" hidden="1" customHeight="1" x14ac:dyDescent="0.2">
      <c r="A38" t="s">
        <v>129</v>
      </c>
      <c r="B38" t="s">
        <v>14</v>
      </c>
      <c r="C38" t="s">
        <v>15</v>
      </c>
      <c r="D38" s="1" t="s">
        <v>130</v>
      </c>
      <c r="E38" t="s">
        <v>210</v>
      </c>
      <c r="F38">
        <v>12.162000000000001</v>
      </c>
      <c r="G38" s="2"/>
    </row>
    <row r="39" spans="1:7" ht="17" hidden="1" customHeight="1" x14ac:dyDescent="0.2">
      <c r="A39" t="s">
        <v>129</v>
      </c>
      <c r="B39" t="s">
        <v>14</v>
      </c>
      <c r="C39" t="s">
        <v>18</v>
      </c>
      <c r="D39" s="1" t="s">
        <v>131</v>
      </c>
      <c r="E39" t="s">
        <v>210</v>
      </c>
      <c r="F39">
        <v>16.728000000000002</v>
      </c>
      <c r="G39" s="2"/>
    </row>
    <row r="40" spans="1:7" ht="17" hidden="1" customHeight="1" x14ac:dyDescent="0.2">
      <c r="A40" t="s">
        <v>129</v>
      </c>
      <c r="B40" t="s">
        <v>14</v>
      </c>
      <c r="C40" t="s">
        <v>21</v>
      </c>
      <c r="D40" s="1" t="s">
        <v>132</v>
      </c>
      <c r="E40" t="s">
        <v>210</v>
      </c>
      <c r="F40">
        <v>13.023999999999999</v>
      </c>
      <c r="G40" s="2"/>
    </row>
    <row r="41" spans="1:7" ht="17" hidden="1" customHeight="1" x14ac:dyDescent="0.2">
      <c r="A41" t="s">
        <v>129</v>
      </c>
      <c r="B41" t="s">
        <v>14</v>
      </c>
      <c r="C41" t="s">
        <v>24</v>
      </c>
      <c r="D41" s="1" t="s">
        <v>133</v>
      </c>
      <c r="E41" t="s">
        <v>210</v>
      </c>
      <c r="F41">
        <v>9.7260000000000009</v>
      </c>
      <c r="G41" s="2"/>
    </row>
    <row r="42" spans="1:7" ht="17" hidden="1" customHeight="1" x14ac:dyDescent="0.2">
      <c r="A42" t="s">
        <v>129</v>
      </c>
      <c r="B42" t="s">
        <v>14</v>
      </c>
      <c r="C42" t="s">
        <v>27</v>
      </c>
      <c r="D42" s="1" t="s">
        <v>134</v>
      </c>
      <c r="E42" t="s">
        <v>210</v>
      </c>
      <c r="F42">
        <v>15.021000000000001</v>
      </c>
      <c r="G42" s="2"/>
    </row>
    <row r="43" spans="1:7" ht="17" hidden="1" customHeight="1" x14ac:dyDescent="0.2">
      <c r="A43" t="s">
        <v>129</v>
      </c>
      <c r="B43" t="s">
        <v>14</v>
      </c>
      <c r="C43" t="s">
        <v>30</v>
      </c>
      <c r="D43" s="1" t="s">
        <v>135</v>
      </c>
      <c r="E43" t="s">
        <v>210</v>
      </c>
      <c r="F43">
        <v>16.404</v>
      </c>
      <c r="G43" s="2"/>
    </row>
    <row r="44" spans="1:7" ht="17" hidden="1" customHeight="1" x14ac:dyDescent="0.2">
      <c r="A44" t="s">
        <v>129</v>
      </c>
      <c r="B44" t="s">
        <v>33</v>
      </c>
      <c r="C44" t="s">
        <v>34</v>
      </c>
      <c r="D44" s="1" t="s">
        <v>136</v>
      </c>
      <c r="E44" t="s">
        <v>210</v>
      </c>
      <c r="F44">
        <v>16.728000000000002</v>
      </c>
      <c r="G44" s="2"/>
    </row>
    <row r="45" spans="1:7" ht="17" hidden="1" customHeight="1" x14ac:dyDescent="0.2">
      <c r="A45" t="s">
        <v>129</v>
      </c>
      <c r="B45" t="s">
        <v>33</v>
      </c>
      <c r="C45" t="s">
        <v>37</v>
      </c>
      <c r="D45" s="1" t="s">
        <v>137</v>
      </c>
      <c r="E45" t="s">
        <v>210</v>
      </c>
      <c r="F45">
        <v>15.47</v>
      </c>
      <c r="G45" s="2"/>
    </row>
    <row r="46" spans="1:7" ht="17" hidden="1" customHeight="1" x14ac:dyDescent="0.2">
      <c r="A46" t="s">
        <v>129</v>
      </c>
      <c r="B46" t="s">
        <v>33</v>
      </c>
      <c r="C46" t="s">
        <v>40</v>
      </c>
      <c r="D46" s="1" t="s">
        <v>138</v>
      </c>
      <c r="E46" t="s">
        <v>210</v>
      </c>
      <c r="F46">
        <v>15.47</v>
      </c>
      <c r="G46" s="2"/>
    </row>
    <row r="47" spans="1:7" ht="17" hidden="1" customHeight="1" x14ac:dyDescent="0.2">
      <c r="A47" t="s">
        <v>129</v>
      </c>
      <c r="B47" t="s">
        <v>33</v>
      </c>
      <c r="C47" t="s">
        <v>43</v>
      </c>
      <c r="D47" s="1" t="s">
        <v>139</v>
      </c>
      <c r="E47" t="s">
        <v>210</v>
      </c>
      <c r="F47">
        <v>18.774000000000001</v>
      </c>
      <c r="G47" s="2"/>
    </row>
    <row r="48" spans="1:7" ht="17" hidden="1" customHeight="1" x14ac:dyDescent="0.2">
      <c r="A48" t="s">
        <v>129</v>
      </c>
      <c r="B48" t="s">
        <v>33</v>
      </c>
      <c r="C48" t="s">
        <v>46</v>
      </c>
      <c r="D48" s="1" t="s">
        <v>140</v>
      </c>
      <c r="E48" t="s">
        <v>210</v>
      </c>
      <c r="F48">
        <v>16.827999999999999</v>
      </c>
      <c r="G48" s="2"/>
    </row>
    <row r="49" spans="1:7" ht="17" hidden="1" customHeight="1" x14ac:dyDescent="0.2">
      <c r="A49" t="s">
        <v>129</v>
      </c>
      <c r="B49" t="s">
        <v>33</v>
      </c>
      <c r="C49" t="s">
        <v>49</v>
      </c>
      <c r="D49" s="1" t="s">
        <v>141</v>
      </c>
      <c r="E49" t="s">
        <v>210</v>
      </c>
      <c r="F49">
        <v>16.219000000000001</v>
      </c>
      <c r="G49" s="2"/>
    </row>
    <row r="50" spans="1:7" ht="17" hidden="1" customHeight="1" x14ac:dyDescent="0.2">
      <c r="A50" t="s">
        <v>129</v>
      </c>
      <c r="B50" t="s">
        <v>33</v>
      </c>
      <c r="C50" t="s">
        <v>52</v>
      </c>
      <c r="D50" s="1" t="s">
        <v>142</v>
      </c>
      <c r="E50" t="s">
        <v>210</v>
      </c>
      <c r="F50">
        <v>18.774000000000001</v>
      </c>
      <c r="G50" s="2"/>
    </row>
    <row r="51" spans="1:7" ht="17" hidden="1" customHeight="1" x14ac:dyDescent="0.2">
      <c r="A51" t="s">
        <v>129</v>
      </c>
      <c r="B51" t="s">
        <v>33</v>
      </c>
      <c r="C51" t="s">
        <v>55</v>
      </c>
      <c r="D51" s="1" t="s">
        <v>143</v>
      </c>
      <c r="E51" t="s">
        <v>210</v>
      </c>
      <c r="F51">
        <v>16.527000000000001</v>
      </c>
      <c r="G51" s="2"/>
    </row>
    <row r="52" spans="1:7" ht="17" hidden="1" customHeight="1" x14ac:dyDescent="0.2">
      <c r="A52" t="s">
        <v>129</v>
      </c>
      <c r="B52" t="s">
        <v>33</v>
      </c>
      <c r="C52" t="s">
        <v>58</v>
      </c>
      <c r="D52" s="1" t="s">
        <v>144</v>
      </c>
      <c r="E52" t="s">
        <v>210</v>
      </c>
      <c r="F52">
        <v>18.774000000000001</v>
      </c>
      <c r="G52" s="2"/>
    </row>
    <row r="53" spans="1:7" ht="17" hidden="1" customHeight="1" x14ac:dyDescent="0.2">
      <c r="A53" t="s">
        <v>129</v>
      </c>
      <c r="B53" t="s">
        <v>33</v>
      </c>
      <c r="C53" t="s">
        <v>61</v>
      </c>
      <c r="D53" s="1" t="s">
        <v>145</v>
      </c>
      <c r="E53" t="s">
        <v>210</v>
      </c>
      <c r="F53">
        <v>13.817</v>
      </c>
      <c r="G53" s="2"/>
    </row>
    <row r="54" spans="1:7" ht="17" hidden="1" customHeight="1" x14ac:dyDescent="0.2">
      <c r="A54" t="s">
        <v>129</v>
      </c>
      <c r="B54" t="s">
        <v>64</v>
      </c>
      <c r="C54" t="s">
        <v>65</v>
      </c>
      <c r="D54" s="1" t="s">
        <v>146</v>
      </c>
      <c r="E54" t="s">
        <v>210</v>
      </c>
      <c r="F54">
        <v>10.864000000000001</v>
      </c>
      <c r="G54" s="2"/>
    </row>
    <row r="55" spans="1:7" ht="17" hidden="1" customHeight="1" x14ac:dyDescent="0.2">
      <c r="A55" t="s">
        <v>129</v>
      </c>
      <c r="B55" t="s">
        <v>64</v>
      </c>
      <c r="C55" t="s">
        <v>68</v>
      </c>
      <c r="D55" s="1" t="s">
        <v>147</v>
      </c>
      <c r="E55" t="s">
        <v>210</v>
      </c>
      <c r="F55">
        <v>13.023999999999999</v>
      </c>
      <c r="G55" s="2"/>
    </row>
    <row r="56" spans="1:7" ht="17" hidden="1" customHeight="1" x14ac:dyDescent="0.2">
      <c r="A56" t="s">
        <v>129</v>
      </c>
      <c r="B56" t="s">
        <v>64</v>
      </c>
      <c r="C56" t="s">
        <v>71</v>
      </c>
      <c r="D56" s="1" t="s">
        <v>148</v>
      </c>
      <c r="E56" t="s">
        <v>210</v>
      </c>
      <c r="F56">
        <v>17.122</v>
      </c>
      <c r="G56" s="2"/>
    </row>
    <row r="57" spans="1:7" ht="17" hidden="1" customHeight="1" x14ac:dyDescent="0.2">
      <c r="A57" t="s">
        <v>129</v>
      </c>
      <c r="B57" t="s">
        <v>64</v>
      </c>
      <c r="C57" t="s">
        <v>74</v>
      </c>
      <c r="D57" s="1" t="s">
        <v>149</v>
      </c>
      <c r="E57" t="s">
        <v>210</v>
      </c>
      <c r="F57">
        <v>15.903</v>
      </c>
      <c r="G57" s="2"/>
    </row>
    <row r="58" spans="1:7" ht="17" hidden="1" customHeight="1" x14ac:dyDescent="0.2">
      <c r="A58" t="s">
        <v>129</v>
      </c>
      <c r="B58" t="s">
        <v>64</v>
      </c>
      <c r="C58" t="s">
        <v>77</v>
      </c>
      <c r="D58" s="1" t="s">
        <v>150</v>
      </c>
      <c r="E58" t="s">
        <v>210</v>
      </c>
      <c r="F58">
        <v>13.428000000000001</v>
      </c>
      <c r="G58" s="2"/>
    </row>
    <row r="59" spans="1:7" ht="17" hidden="1" customHeight="1" x14ac:dyDescent="0.2">
      <c r="A59" t="s">
        <v>129</v>
      </c>
      <c r="B59" t="s">
        <v>80</v>
      </c>
      <c r="C59" t="s">
        <v>81</v>
      </c>
      <c r="D59" s="1" t="s">
        <v>151</v>
      </c>
      <c r="E59" t="s">
        <v>210</v>
      </c>
      <c r="F59">
        <v>17.122</v>
      </c>
      <c r="G59" s="2"/>
    </row>
    <row r="60" spans="1:7" ht="17" hidden="1" customHeight="1" x14ac:dyDescent="0.2">
      <c r="A60" t="s">
        <v>129</v>
      </c>
      <c r="B60" t="s">
        <v>80</v>
      </c>
      <c r="C60" t="s">
        <v>84</v>
      </c>
      <c r="D60" s="1" t="s">
        <v>152</v>
      </c>
      <c r="E60" t="s">
        <v>210</v>
      </c>
      <c r="F60">
        <v>15.47</v>
      </c>
      <c r="G60" s="2"/>
    </row>
    <row r="61" spans="1:7" ht="17" hidden="1" customHeight="1" x14ac:dyDescent="0.2">
      <c r="A61" t="s">
        <v>129</v>
      </c>
      <c r="B61" t="s">
        <v>80</v>
      </c>
      <c r="C61" t="s">
        <v>87</v>
      </c>
      <c r="D61" s="1" t="s">
        <v>153</v>
      </c>
      <c r="E61" t="s">
        <v>210</v>
      </c>
      <c r="F61">
        <v>17.879000000000001</v>
      </c>
      <c r="G61" s="2"/>
    </row>
    <row r="62" spans="1:7" ht="17" hidden="1" customHeight="1" x14ac:dyDescent="0.2">
      <c r="A62" t="s">
        <v>129</v>
      </c>
      <c r="B62" t="s">
        <v>80</v>
      </c>
      <c r="C62" t="s">
        <v>90</v>
      </c>
      <c r="D62" s="1" t="s">
        <v>154</v>
      </c>
      <c r="E62" t="s">
        <v>210</v>
      </c>
      <c r="F62">
        <v>15.021000000000001</v>
      </c>
      <c r="G62" s="2"/>
    </row>
    <row r="63" spans="1:7" ht="17" hidden="1" customHeight="1" x14ac:dyDescent="0.2">
      <c r="A63" t="s">
        <v>129</v>
      </c>
      <c r="B63" t="s">
        <v>80</v>
      </c>
      <c r="C63" t="s">
        <v>93</v>
      </c>
      <c r="D63" s="1" t="s">
        <v>155</v>
      </c>
      <c r="E63" t="s">
        <v>210</v>
      </c>
      <c r="F63">
        <v>15.47</v>
      </c>
      <c r="G63" s="2"/>
    </row>
    <row r="64" spans="1:7" ht="17" hidden="1" customHeight="1" x14ac:dyDescent="0.2">
      <c r="A64" t="s">
        <v>129</v>
      </c>
      <c r="B64" t="s">
        <v>80</v>
      </c>
      <c r="C64" t="s">
        <v>96</v>
      </c>
      <c r="D64" s="1" t="s">
        <v>156</v>
      </c>
      <c r="E64" t="s">
        <v>210</v>
      </c>
      <c r="F64">
        <v>15.47</v>
      </c>
      <c r="G64" s="2"/>
    </row>
    <row r="65" spans="1:7" ht="17" hidden="1" customHeight="1" x14ac:dyDescent="0.2">
      <c r="A65" t="s">
        <v>129</v>
      </c>
      <c r="B65" t="s">
        <v>80</v>
      </c>
      <c r="C65" t="s">
        <v>99</v>
      </c>
      <c r="D65" s="1" t="s">
        <v>157</v>
      </c>
      <c r="E65" t="s">
        <v>210</v>
      </c>
      <c r="F65">
        <v>16.527000000000001</v>
      </c>
      <c r="G65" s="2"/>
    </row>
    <row r="66" spans="1:7" ht="17" hidden="1" customHeight="1" x14ac:dyDescent="0.2">
      <c r="A66" t="s">
        <v>129</v>
      </c>
      <c r="B66" t="s">
        <v>80</v>
      </c>
      <c r="C66" t="s">
        <v>102</v>
      </c>
      <c r="D66" s="1" t="s">
        <v>158</v>
      </c>
      <c r="E66" t="s">
        <v>210</v>
      </c>
      <c r="F66">
        <v>10.914</v>
      </c>
      <c r="G66" s="2"/>
    </row>
    <row r="67" spans="1:7" ht="17" hidden="1" customHeight="1" x14ac:dyDescent="0.2">
      <c r="A67" t="s">
        <v>129</v>
      </c>
      <c r="B67" t="s">
        <v>105</v>
      </c>
      <c r="C67" t="s">
        <v>106</v>
      </c>
      <c r="D67" s="1" t="s">
        <v>159</v>
      </c>
      <c r="E67" t="s">
        <v>210</v>
      </c>
      <c r="F67">
        <v>13.023999999999999</v>
      </c>
      <c r="G67" s="2"/>
    </row>
    <row r="68" spans="1:7" ht="17" hidden="1" customHeight="1" x14ac:dyDescent="0.2">
      <c r="A68" t="s">
        <v>129</v>
      </c>
      <c r="B68" t="s">
        <v>105</v>
      </c>
      <c r="C68" t="s">
        <v>109</v>
      </c>
      <c r="D68" s="1" t="s">
        <v>160</v>
      </c>
      <c r="E68" t="s">
        <v>210</v>
      </c>
      <c r="F68">
        <v>12.162000000000001</v>
      </c>
      <c r="G68" s="2"/>
    </row>
    <row r="69" spans="1:7" ht="17" hidden="1" customHeight="1" x14ac:dyDescent="0.2">
      <c r="A69" t="s">
        <v>129</v>
      </c>
      <c r="B69" t="s">
        <v>105</v>
      </c>
      <c r="C69" t="s">
        <v>112</v>
      </c>
      <c r="D69" s="1" t="s">
        <v>161</v>
      </c>
      <c r="E69" t="s">
        <v>210</v>
      </c>
      <c r="F69">
        <v>17.879000000000001</v>
      </c>
      <c r="G69" s="2"/>
    </row>
    <row r="70" spans="1:7" ht="17" hidden="1" customHeight="1" x14ac:dyDescent="0.2">
      <c r="A70" t="s">
        <v>129</v>
      </c>
      <c r="B70" t="s">
        <v>105</v>
      </c>
      <c r="C70" t="s">
        <v>115</v>
      </c>
      <c r="D70" s="1" t="s">
        <v>162</v>
      </c>
      <c r="E70" t="s">
        <v>210</v>
      </c>
      <c r="F70">
        <v>13.817</v>
      </c>
      <c r="G70" s="2"/>
    </row>
    <row r="71" spans="1:7" ht="17" hidden="1" customHeight="1" x14ac:dyDescent="0.2">
      <c r="A71" t="s">
        <v>129</v>
      </c>
      <c r="B71" t="s">
        <v>105</v>
      </c>
      <c r="C71" t="s">
        <v>118</v>
      </c>
      <c r="D71" s="1" t="s">
        <v>163</v>
      </c>
      <c r="E71" t="s">
        <v>210</v>
      </c>
      <c r="F71">
        <v>16.527000000000001</v>
      </c>
      <c r="G71" s="2"/>
    </row>
    <row r="72" spans="1:7" ht="17" hidden="1" customHeight="1" x14ac:dyDescent="0.2">
      <c r="A72" t="s">
        <v>129</v>
      </c>
      <c r="B72" t="s">
        <v>121</v>
      </c>
      <c r="C72" t="s">
        <v>122</v>
      </c>
      <c r="D72" s="1" t="s">
        <v>164</v>
      </c>
      <c r="E72" t="s">
        <v>210</v>
      </c>
      <c r="F72">
        <v>17.506</v>
      </c>
      <c r="G72" s="2"/>
    </row>
    <row r="73" spans="1:7" ht="17" hidden="1" customHeight="1" x14ac:dyDescent="0.2">
      <c r="A73" t="s">
        <v>129</v>
      </c>
      <c r="B73" t="s">
        <v>121</v>
      </c>
      <c r="C73" t="s">
        <v>125</v>
      </c>
      <c r="D73" s="1" t="s">
        <v>165</v>
      </c>
      <c r="E73" t="s">
        <v>210</v>
      </c>
      <c r="F73">
        <v>15.247999999999999</v>
      </c>
      <c r="G73" s="2"/>
    </row>
    <row r="74" spans="1:7" ht="17" hidden="1" customHeight="1" x14ac:dyDescent="0.2">
      <c r="A74" t="s">
        <v>167</v>
      </c>
      <c r="B74" t="s">
        <v>14</v>
      </c>
      <c r="C74" t="s">
        <v>15</v>
      </c>
      <c r="D74" s="1" t="s">
        <v>168</v>
      </c>
      <c r="E74" t="s">
        <v>210</v>
      </c>
      <c r="F74">
        <v>15.247999999999999</v>
      </c>
      <c r="G74" s="2"/>
    </row>
    <row r="75" spans="1:7" ht="17" hidden="1" customHeight="1" x14ac:dyDescent="0.2">
      <c r="A75" t="s">
        <v>167</v>
      </c>
      <c r="B75" t="s">
        <v>14</v>
      </c>
      <c r="C75" t="s">
        <v>18</v>
      </c>
      <c r="D75" s="1" t="s">
        <v>169</v>
      </c>
      <c r="E75" t="s">
        <v>210</v>
      </c>
      <c r="F75">
        <v>17.506</v>
      </c>
      <c r="G75" s="2"/>
    </row>
    <row r="76" spans="1:7" ht="17" hidden="1" customHeight="1" x14ac:dyDescent="0.2">
      <c r="A76" t="s">
        <v>167</v>
      </c>
      <c r="B76" t="s">
        <v>14</v>
      </c>
      <c r="C76" t="s">
        <v>21</v>
      </c>
      <c r="D76" s="1" t="s">
        <v>170</v>
      </c>
      <c r="E76" t="s">
        <v>210</v>
      </c>
      <c r="F76">
        <v>14.906000000000001</v>
      </c>
      <c r="G76" s="2"/>
    </row>
    <row r="77" spans="1:7" ht="17" hidden="1" customHeight="1" x14ac:dyDescent="0.2">
      <c r="A77" t="s">
        <v>167</v>
      </c>
      <c r="B77" t="s">
        <v>14</v>
      </c>
      <c r="C77" t="s">
        <v>24</v>
      </c>
      <c r="D77" s="1" t="s">
        <v>171</v>
      </c>
      <c r="E77" t="s">
        <v>210</v>
      </c>
      <c r="F77">
        <v>14.906000000000001</v>
      </c>
      <c r="G77" s="2"/>
    </row>
    <row r="78" spans="1:7" ht="17" hidden="1" customHeight="1" x14ac:dyDescent="0.2">
      <c r="A78" t="s">
        <v>167</v>
      </c>
      <c r="B78" t="s">
        <v>14</v>
      </c>
      <c r="C78" t="s">
        <v>27</v>
      </c>
      <c r="D78" s="1" t="s">
        <v>172</v>
      </c>
      <c r="E78" t="s">
        <v>210</v>
      </c>
      <c r="F78">
        <v>19.286999999999999</v>
      </c>
      <c r="G78" s="2"/>
    </row>
    <row r="79" spans="1:7" ht="17" hidden="1" customHeight="1" x14ac:dyDescent="0.2">
      <c r="A79" t="s">
        <v>167</v>
      </c>
      <c r="B79" t="s">
        <v>14</v>
      </c>
      <c r="C79" t="s">
        <v>30</v>
      </c>
      <c r="D79" s="1" t="s">
        <v>173</v>
      </c>
      <c r="E79" t="s">
        <v>210</v>
      </c>
      <c r="F79">
        <v>18.774000000000001</v>
      </c>
      <c r="G79" s="2"/>
    </row>
    <row r="80" spans="1:7" ht="17" hidden="1" customHeight="1" x14ac:dyDescent="0.2">
      <c r="A80" t="s">
        <v>167</v>
      </c>
      <c r="B80" t="s">
        <v>33</v>
      </c>
      <c r="C80" t="s">
        <v>34</v>
      </c>
      <c r="D80" s="1" t="s">
        <v>174</v>
      </c>
      <c r="E80" t="s">
        <v>210</v>
      </c>
      <c r="F80">
        <v>17.506</v>
      </c>
      <c r="G80" s="2"/>
    </row>
    <row r="81" spans="1:7" ht="17" hidden="1" customHeight="1" x14ac:dyDescent="0.2">
      <c r="A81" t="s">
        <v>167</v>
      </c>
      <c r="B81" t="s">
        <v>33</v>
      </c>
      <c r="C81" t="s">
        <v>37</v>
      </c>
      <c r="D81" s="1" t="s">
        <v>175</v>
      </c>
      <c r="E81" t="s">
        <v>210</v>
      </c>
      <c r="F81">
        <v>13.023999999999999</v>
      </c>
      <c r="G81" s="2"/>
    </row>
    <row r="82" spans="1:7" ht="17" hidden="1" customHeight="1" x14ac:dyDescent="0.2">
      <c r="A82" t="s">
        <v>167</v>
      </c>
      <c r="B82" t="s">
        <v>33</v>
      </c>
      <c r="C82" t="s">
        <v>40</v>
      </c>
      <c r="D82" s="1" t="s">
        <v>176</v>
      </c>
      <c r="E82" t="s">
        <v>210</v>
      </c>
      <c r="F82">
        <v>16.219000000000001</v>
      </c>
      <c r="G82" s="2"/>
    </row>
    <row r="83" spans="1:7" ht="17" hidden="1" customHeight="1" x14ac:dyDescent="0.2">
      <c r="A83" t="s">
        <v>167</v>
      </c>
      <c r="B83" t="s">
        <v>33</v>
      </c>
      <c r="C83" t="s">
        <v>43</v>
      </c>
      <c r="D83" s="1" t="s">
        <v>177</v>
      </c>
      <c r="E83" t="s">
        <v>210</v>
      </c>
      <c r="F83">
        <v>17.693999999999999</v>
      </c>
      <c r="G83" s="2"/>
    </row>
    <row r="84" spans="1:7" ht="17" hidden="1" customHeight="1" x14ac:dyDescent="0.2">
      <c r="A84" t="s">
        <v>167</v>
      </c>
      <c r="B84" t="s">
        <v>33</v>
      </c>
      <c r="C84" t="s">
        <v>46</v>
      </c>
      <c r="D84" s="1" t="s">
        <v>178</v>
      </c>
      <c r="E84" t="s">
        <v>210</v>
      </c>
      <c r="F84">
        <v>16.404</v>
      </c>
      <c r="G84" s="2"/>
    </row>
    <row r="85" spans="1:7" ht="17" hidden="1" customHeight="1" x14ac:dyDescent="0.2">
      <c r="A85" t="s">
        <v>167</v>
      </c>
      <c r="B85" t="s">
        <v>33</v>
      </c>
      <c r="C85" t="s">
        <v>49</v>
      </c>
      <c r="D85" s="1" t="s">
        <v>179</v>
      </c>
      <c r="E85" t="s">
        <v>210</v>
      </c>
      <c r="F85">
        <v>16.887</v>
      </c>
      <c r="G85" s="2"/>
    </row>
    <row r="86" spans="1:7" ht="17" hidden="1" customHeight="1" x14ac:dyDescent="0.2">
      <c r="A86" t="s">
        <v>167</v>
      </c>
      <c r="B86" t="s">
        <v>33</v>
      </c>
      <c r="C86" t="s">
        <v>52</v>
      </c>
      <c r="D86" s="1" t="s">
        <v>180</v>
      </c>
      <c r="E86" t="s">
        <v>210</v>
      </c>
      <c r="F86">
        <v>16.321999999999999</v>
      </c>
      <c r="G86" s="2"/>
    </row>
    <row r="87" spans="1:7" ht="17" hidden="1" customHeight="1" x14ac:dyDescent="0.2">
      <c r="A87" t="s">
        <v>167</v>
      </c>
      <c r="B87" t="s">
        <v>33</v>
      </c>
      <c r="C87" t="s">
        <v>55</v>
      </c>
      <c r="D87" s="1" t="s">
        <v>181</v>
      </c>
      <c r="E87" t="s">
        <v>210</v>
      </c>
      <c r="F87">
        <v>17.506</v>
      </c>
      <c r="G87" s="2"/>
    </row>
    <row r="88" spans="1:7" ht="17" hidden="1" customHeight="1" x14ac:dyDescent="0.2">
      <c r="A88" t="s">
        <v>167</v>
      </c>
      <c r="B88" t="s">
        <v>33</v>
      </c>
      <c r="C88" t="s">
        <v>58</v>
      </c>
      <c r="D88" s="1" t="s">
        <v>182</v>
      </c>
      <c r="E88" t="s">
        <v>210</v>
      </c>
      <c r="F88">
        <v>19.946999999999999</v>
      </c>
      <c r="G88" s="2"/>
    </row>
    <row r="89" spans="1:7" ht="17" hidden="1" customHeight="1" x14ac:dyDescent="0.2">
      <c r="A89" t="s">
        <v>167</v>
      </c>
      <c r="B89" t="s">
        <v>33</v>
      </c>
      <c r="C89" t="s">
        <v>61</v>
      </c>
      <c r="D89" s="1" t="s">
        <v>183</v>
      </c>
      <c r="E89" t="s">
        <v>210</v>
      </c>
      <c r="F89">
        <v>15.247999999999999</v>
      </c>
      <c r="G89" s="2"/>
    </row>
    <row r="90" spans="1:7" ht="17" hidden="1" customHeight="1" x14ac:dyDescent="0.2">
      <c r="A90" t="s">
        <v>167</v>
      </c>
      <c r="B90" t="s">
        <v>64</v>
      </c>
      <c r="C90" t="s">
        <v>65</v>
      </c>
      <c r="D90" s="1" t="s">
        <v>184</v>
      </c>
      <c r="E90" t="s">
        <v>210</v>
      </c>
      <c r="F90">
        <v>13.707000000000001</v>
      </c>
      <c r="G90" s="2"/>
    </row>
    <row r="91" spans="1:7" ht="17" hidden="1" customHeight="1" x14ac:dyDescent="0.2">
      <c r="A91" t="s">
        <v>167</v>
      </c>
      <c r="B91" t="s">
        <v>64</v>
      </c>
      <c r="C91" t="s">
        <v>68</v>
      </c>
      <c r="D91" s="1" t="s">
        <v>185</v>
      </c>
      <c r="E91" t="s">
        <v>210</v>
      </c>
      <c r="F91">
        <v>15.645</v>
      </c>
      <c r="G91" s="2"/>
    </row>
    <row r="92" spans="1:7" ht="17" hidden="1" customHeight="1" x14ac:dyDescent="0.2">
      <c r="A92" t="s">
        <v>167</v>
      </c>
      <c r="B92" t="s">
        <v>64</v>
      </c>
      <c r="C92" t="s">
        <v>71</v>
      </c>
      <c r="D92" s="1" t="s">
        <v>186</v>
      </c>
      <c r="E92" t="s">
        <v>210</v>
      </c>
      <c r="F92">
        <v>17.122</v>
      </c>
      <c r="G92" s="2"/>
    </row>
    <row r="93" spans="1:7" ht="17" hidden="1" customHeight="1" x14ac:dyDescent="0.2">
      <c r="A93" t="s">
        <v>167</v>
      </c>
      <c r="B93" t="s">
        <v>64</v>
      </c>
      <c r="C93" t="s">
        <v>74</v>
      </c>
      <c r="D93" s="1" t="s">
        <v>187</v>
      </c>
      <c r="E93" t="s">
        <v>210</v>
      </c>
      <c r="F93">
        <v>19.946999999999999</v>
      </c>
      <c r="G93" s="2"/>
    </row>
    <row r="94" spans="1:7" ht="17" hidden="1" customHeight="1" x14ac:dyDescent="0.2">
      <c r="A94" t="s">
        <v>167</v>
      </c>
      <c r="B94" t="s">
        <v>64</v>
      </c>
      <c r="C94" t="s">
        <v>77</v>
      </c>
      <c r="D94" s="1" t="s">
        <v>188</v>
      </c>
      <c r="E94" t="s">
        <v>210</v>
      </c>
      <c r="F94">
        <v>17.971</v>
      </c>
      <c r="G94" s="2"/>
    </row>
    <row r="95" spans="1:7" ht="17" hidden="1" customHeight="1" x14ac:dyDescent="0.2">
      <c r="A95" t="s">
        <v>167</v>
      </c>
      <c r="B95" t="s">
        <v>80</v>
      </c>
      <c r="C95" t="s">
        <v>81</v>
      </c>
      <c r="D95" s="1" t="s">
        <v>189</v>
      </c>
      <c r="E95" t="s">
        <v>210</v>
      </c>
      <c r="F95">
        <v>16.219000000000001</v>
      </c>
      <c r="G95" s="2"/>
    </row>
    <row r="96" spans="1:7" ht="17" hidden="1" customHeight="1" x14ac:dyDescent="0.2">
      <c r="A96" t="s">
        <v>167</v>
      </c>
      <c r="B96" t="s">
        <v>80</v>
      </c>
      <c r="C96" t="s">
        <v>84</v>
      </c>
      <c r="D96" s="1" t="s">
        <v>190</v>
      </c>
      <c r="E96" t="s">
        <v>210</v>
      </c>
      <c r="F96">
        <v>20.890999999999998</v>
      </c>
      <c r="G96" s="2"/>
    </row>
    <row r="97" spans="1:7" ht="17" hidden="1" customHeight="1" x14ac:dyDescent="0.2">
      <c r="A97" t="s">
        <v>167</v>
      </c>
      <c r="B97" t="s">
        <v>80</v>
      </c>
      <c r="C97" t="s">
        <v>87</v>
      </c>
      <c r="D97" s="1" t="s">
        <v>191</v>
      </c>
      <c r="E97" t="s">
        <v>210</v>
      </c>
      <c r="F97">
        <v>15.645</v>
      </c>
      <c r="G97" s="2"/>
    </row>
    <row r="98" spans="1:7" ht="17" hidden="1" customHeight="1" x14ac:dyDescent="0.2">
      <c r="A98" t="s">
        <v>167</v>
      </c>
      <c r="B98" t="s">
        <v>80</v>
      </c>
      <c r="C98" t="s">
        <v>90</v>
      </c>
      <c r="D98" s="1" t="s">
        <v>192</v>
      </c>
      <c r="E98" t="s">
        <v>210</v>
      </c>
      <c r="F98">
        <v>14.757</v>
      </c>
      <c r="G98" s="2"/>
    </row>
    <row r="99" spans="1:7" ht="17" hidden="1" customHeight="1" x14ac:dyDescent="0.2">
      <c r="A99" t="s">
        <v>167</v>
      </c>
      <c r="B99" t="s">
        <v>80</v>
      </c>
      <c r="C99" t="s">
        <v>93</v>
      </c>
      <c r="D99" s="1" t="s">
        <v>193</v>
      </c>
      <c r="E99" t="s">
        <v>210</v>
      </c>
      <c r="F99">
        <v>17.411000000000001</v>
      </c>
      <c r="G99" s="2"/>
    </row>
    <row r="100" spans="1:7" ht="17" hidden="1" customHeight="1" x14ac:dyDescent="0.2">
      <c r="A100" t="s">
        <v>167</v>
      </c>
      <c r="B100" t="s">
        <v>80</v>
      </c>
      <c r="C100" t="s">
        <v>96</v>
      </c>
      <c r="D100" s="1" t="s">
        <v>194</v>
      </c>
      <c r="E100" t="s">
        <v>210</v>
      </c>
      <c r="F100">
        <v>26.334</v>
      </c>
      <c r="G100" s="2"/>
    </row>
    <row r="101" spans="1:7" ht="17" hidden="1" customHeight="1" x14ac:dyDescent="0.2">
      <c r="A101" t="s">
        <v>167</v>
      </c>
      <c r="B101" t="s">
        <v>80</v>
      </c>
      <c r="C101" t="s">
        <v>99</v>
      </c>
      <c r="D101" s="1" t="s">
        <v>195</v>
      </c>
      <c r="E101" t="s">
        <v>210</v>
      </c>
      <c r="F101">
        <v>14.837</v>
      </c>
      <c r="G101" s="2"/>
    </row>
    <row r="102" spans="1:7" ht="17" hidden="1" customHeight="1" x14ac:dyDescent="0.2">
      <c r="A102" t="s">
        <v>167</v>
      </c>
      <c r="B102" t="s">
        <v>80</v>
      </c>
      <c r="C102" t="s">
        <v>102</v>
      </c>
      <c r="D102" s="1" t="s">
        <v>196</v>
      </c>
      <c r="E102" t="s">
        <v>210</v>
      </c>
      <c r="F102">
        <v>14.757</v>
      </c>
      <c r="G102" s="2"/>
    </row>
    <row r="103" spans="1:7" ht="17" hidden="1" customHeight="1" x14ac:dyDescent="0.2">
      <c r="A103" t="s">
        <v>167</v>
      </c>
      <c r="B103" t="s">
        <v>105</v>
      </c>
      <c r="C103" t="s">
        <v>106</v>
      </c>
      <c r="D103" s="1" t="s">
        <v>197</v>
      </c>
      <c r="E103" t="s">
        <v>210</v>
      </c>
      <c r="F103">
        <v>14.192</v>
      </c>
      <c r="G103" s="2"/>
    </row>
    <row r="104" spans="1:7" ht="17" hidden="1" customHeight="1" x14ac:dyDescent="0.2">
      <c r="A104" t="s">
        <v>167</v>
      </c>
      <c r="B104" t="s">
        <v>105</v>
      </c>
      <c r="C104" t="s">
        <v>109</v>
      </c>
      <c r="D104" s="1" t="s">
        <v>198</v>
      </c>
      <c r="E104" t="s">
        <v>210</v>
      </c>
      <c r="F104">
        <v>13.023999999999999</v>
      </c>
      <c r="G104" s="2"/>
    </row>
    <row r="105" spans="1:7" ht="17" hidden="1" customHeight="1" x14ac:dyDescent="0.2">
      <c r="A105" t="s">
        <v>167</v>
      </c>
      <c r="B105" t="s">
        <v>105</v>
      </c>
      <c r="C105" t="s">
        <v>112</v>
      </c>
      <c r="D105" s="1" t="s">
        <v>199</v>
      </c>
      <c r="E105" t="s">
        <v>210</v>
      </c>
      <c r="F105">
        <v>17.805</v>
      </c>
      <c r="G105" s="2"/>
    </row>
    <row r="106" spans="1:7" ht="17" hidden="1" customHeight="1" x14ac:dyDescent="0.2">
      <c r="A106" t="s">
        <v>167</v>
      </c>
      <c r="B106" t="s">
        <v>105</v>
      </c>
      <c r="C106" t="s">
        <v>115</v>
      </c>
      <c r="D106" s="1" t="s">
        <v>200</v>
      </c>
      <c r="E106" t="s">
        <v>210</v>
      </c>
      <c r="F106">
        <v>18.946999999999999</v>
      </c>
      <c r="G106" s="2"/>
    </row>
    <row r="107" spans="1:7" ht="17" hidden="1" customHeight="1" x14ac:dyDescent="0.2">
      <c r="A107" t="s">
        <v>167</v>
      </c>
      <c r="B107" t="s">
        <v>105</v>
      </c>
      <c r="C107" t="s">
        <v>118</v>
      </c>
      <c r="D107" s="1" t="s">
        <v>201</v>
      </c>
      <c r="E107" t="s">
        <v>210</v>
      </c>
      <c r="F107">
        <v>17.506</v>
      </c>
      <c r="G107" s="2"/>
    </row>
    <row r="108" spans="1:7" ht="17" hidden="1" customHeight="1" x14ac:dyDescent="0.2">
      <c r="A108" t="s">
        <v>167</v>
      </c>
      <c r="B108" t="s">
        <v>121</v>
      </c>
      <c r="C108" t="s">
        <v>122</v>
      </c>
      <c r="D108" s="1" t="s">
        <v>202</v>
      </c>
      <c r="E108" t="s">
        <v>210</v>
      </c>
      <c r="F108">
        <v>23.727</v>
      </c>
      <c r="G108" s="2"/>
    </row>
    <row r="109" spans="1:7" ht="17" hidden="1" customHeight="1" x14ac:dyDescent="0.2">
      <c r="A109" t="s">
        <v>167</v>
      </c>
      <c r="B109" t="s">
        <v>121</v>
      </c>
      <c r="C109" t="s">
        <v>125</v>
      </c>
      <c r="D109" s="1" t="s">
        <v>203</v>
      </c>
      <c r="E109" t="s">
        <v>210</v>
      </c>
      <c r="F109">
        <v>35.945999999999998</v>
      </c>
      <c r="G109" s="2"/>
    </row>
    <row r="110" spans="1:7" ht="17" hidden="1" customHeight="1" x14ac:dyDescent="0.2">
      <c r="A110" t="s">
        <v>13</v>
      </c>
      <c r="B110" t="s">
        <v>14</v>
      </c>
      <c r="C110" t="s">
        <v>15</v>
      </c>
      <c r="D110" s="1" t="s">
        <v>17</v>
      </c>
      <c r="E110" t="s">
        <v>211</v>
      </c>
      <c r="F110">
        <v>15.871</v>
      </c>
      <c r="G110" s="2"/>
    </row>
    <row r="111" spans="1:7" ht="17" hidden="1" customHeight="1" x14ac:dyDescent="0.2">
      <c r="A111" t="s">
        <v>13</v>
      </c>
      <c r="B111" t="s">
        <v>14</v>
      </c>
      <c r="C111" t="s">
        <v>18</v>
      </c>
      <c r="D111" s="1" t="s">
        <v>20</v>
      </c>
      <c r="E111" t="s">
        <v>211</v>
      </c>
      <c r="F111">
        <v>15.621</v>
      </c>
      <c r="G111" s="2"/>
    </row>
    <row r="112" spans="1:7" ht="17" hidden="1" customHeight="1" x14ac:dyDescent="0.2">
      <c r="A112" t="s">
        <v>13</v>
      </c>
      <c r="B112" t="s">
        <v>14</v>
      </c>
      <c r="C112" t="s">
        <v>21</v>
      </c>
      <c r="D112" s="1" t="s">
        <v>23</v>
      </c>
      <c r="E112" t="s">
        <v>211</v>
      </c>
      <c r="F112">
        <v>13.318</v>
      </c>
      <c r="G112" s="2"/>
    </row>
    <row r="113" spans="1:7" ht="17" hidden="1" customHeight="1" x14ac:dyDescent="0.2">
      <c r="A113" t="s">
        <v>13</v>
      </c>
      <c r="B113" t="s">
        <v>14</v>
      </c>
      <c r="C113" t="s">
        <v>24</v>
      </c>
      <c r="D113" s="1" t="s">
        <v>26</v>
      </c>
      <c r="E113" t="s">
        <v>211</v>
      </c>
      <c r="F113">
        <v>14.294</v>
      </c>
      <c r="G113" s="2"/>
    </row>
    <row r="114" spans="1:7" ht="17" hidden="1" customHeight="1" x14ac:dyDescent="0.2">
      <c r="A114" t="s">
        <v>13</v>
      </c>
      <c r="B114" t="s">
        <v>14</v>
      </c>
      <c r="C114" t="s">
        <v>27</v>
      </c>
      <c r="D114" s="1" t="s">
        <v>29</v>
      </c>
      <c r="E114" t="s">
        <v>211</v>
      </c>
      <c r="F114">
        <v>18.687999999999999</v>
      </c>
      <c r="G114" s="2"/>
    </row>
    <row r="115" spans="1:7" ht="17" hidden="1" customHeight="1" x14ac:dyDescent="0.2">
      <c r="A115" t="s">
        <v>13</v>
      </c>
      <c r="B115" t="s">
        <v>14</v>
      </c>
      <c r="C115" t="s">
        <v>30</v>
      </c>
      <c r="D115" s="1" t="s">
        <v>32</v>
      </c>
      <c r="E115" t="s">
        <v>211</v>
      </c>
      <c r="F115">
        <v>13.009</v>
      </c>
      <c r="G115" s="2"/>
    </row>
    <row r="116" spans="1:7" ht="17" hidden="1" customHeight="1" x14ac:dyDescent="0.2">
      <c r="A116" t="s">
        <v>13</v>
      </c>
      <c r="B116" t="s">
        <v>33</v>
      </c>
      <c r="C116" t="s">
        <v>34</v>
      </c>
      <c r="D116" s="1" t="s">
        <v>36</v>
      </c>
      <c r="E116" t="s">
        <v>211</v>
      </c>
      <c r="F116">
        <v>9.5449999999999999</v>
      </c>
      <c r="G116" s="2"/>
    </row>
    <row r="117" spans="1:7" ht="17" hidden="1" customHeight="1" x14ac:dyDescent="0.2">
      <c r="A117" t="s">
        <v>13</v>
      </c>
      <c r="B117" t="s">
        <v>33</v>
      </c>
      <c r="C117" t="s">
        <v>37</v>
      </c>
      <c r="D117" s="1" t="s">
        <v>39</v>
      </c>
      <c r="E117" t="s">
        <v>211</v>
      </c>
      <c r="F117">
        <v>12.766999999999999</v>
      </c>
      <c r="G117" s="2"/>
    </row>
    <row r="118" spans="1:7" ht="17" hidden="1" customHeight="1" x14ac:dyDescent="0.2">
      <c r="A118" t="s">
        <v>13</v>
      </c>
      <c r="B118" t="s">
        <v>33</v>
      </c>
      <c r="C118" t="s">
        <v>40</v>
      </c>
      <c r="D118" s="1" t="s">
        <v>42</v>
      </c>
      <c r="E118" t="s">
        <v>211</v>
      </c>
      <c r="F118">
        <v>13.31</v>
      </c>
      <c r="G118" s="2"/>
    </row>
    <row r="119" spans="1:7" ht="17" hidden="1" customHeight="1" x14ac:dyDescent="0.2">
      <c r="A119" t="s">
        <v>13</v>
      </c>
      <c r="B119" t="s">
        <v>33</v>
      </c>
      <c r="C119" t="s">
        <v>43</v>
      </c>
      <c r="D119" s="1" t="s">
        <v>45</v>
      </c>
      <c r="E119" t="s">
        <v>211</v>
      </c>
      <c r="F119">
        <v>16.152000000000001</v>
      </c>
      <c r="G119" s="2"/>
    </row>
    <row r="120" spans="1:7" ht="17" hidden="1" customHeight="1" x14ac:dyDescent="0.2">
      <c r="A120" t="s">
        <v>13</v>
      </c>
      <c r="B120" t="s">
        <v>33</v>
      </c>
      <c r="C120" t="s">
        <v>46</v>
      </c>
      <c r="D120" s="1" t="s">
        <v>48</v>
      </c>
      <c r="E120" t="s">
        <v>211</v>
      </c>
      <c r="F120">
        <v>24.081</v>
      </c>
      <c r="G120" s="2"/>
    </row>
    <row r="121" spans="1:7" ht="17" hidden="1" customHeight="1" x14ac:dyDescent="0.2">
      <c r="A121" t="s">
        <v>13</v>
      </c>
      <c r="B121" t="s">
        <v>33</v>
      </c>
      <c r="C121" t="s">
        <v>49</v>
      </c>
      <c r="D121" s="1" t="s">
        <v>51</v>
      </c>
      <c r="E121" t="s">
        <v>211</v>
      </c>
      <c r="F121">
        <v>14.654999999999999</v>
      </c>
      <c r="G121" s="2"/>
    </row>
    <row r="122" spans="1:7" ht="17" hidden="1" customHeight="1" x14ac:dyDescent="0.2">
      <c r="A122" t="s">
        <v>13</v>
      </c>
      <c r="B122" t="s">
        <v>33</v>
      </c>
      <c r="C122" t="s">
        <v>52</v>
      </c>
      <c r="D122" s="1" t="s">
        <v>54</v>
      </c>
      <c r="E122" t="s">
        <v>211</v>
      </c>
      <c r="F122">
        <v>14.975</v>
      </c>
      <c r="G122" s="2"/>
    </row>
    <row r="123" spans="1:7" ht="17" hidden="1" customHeight="1" x14ac:dyDescent="0.2">
      <c r="A123" t="s">
        <v>13</v>
      </c>
      <c r="B123" t="s">
        <v>33</v>
      </c>
      <c r="C123" t="s">
        <v>55</v>
      </c>
      <c r="D123" s="1" t="s">
        <v>57</v>
      </c>
      <c r="E123" t="s">
        <v>211</v>
      </c>
      <c r="F123">
        <v>12.618</v>
      </c>
      <c r="G123" s="2"/>
    </row>
    <row r="124" spans="1:7" ht="17" customHeight="1" x14ac:dyDescent="0.2">
      <c r="A124" t="s">
        <v>13</v>
      </c>
      <c r="B124" t="s">
        <v>33</v>
      </c>
      <c r="C124" t="s">
        <v>58</v>
      </c>
      <c r="D124" s="1" t="s">
        <v>60</v>
      </c>
      <c r="E124" t="s">
        <v>211</v>
      </c>
      <c r="F124">
        <v>15.1</v>
      </c>
      <c r="G124" s="2"/>
    </row>
    <row r="125" spans="1:7" ht="17" hidden="1" customHeight="1" x14ac:dyDescent="0.2">
      <c r="A125" t="s">
        <v>13</v>
      </c>
      <c r="B125" t="s">
        <v>33</v>
      </c>
      <c r="C125" t="s">
        <v>61</v>
      </c>
      <c r="D125" s="1" t="s">
        <v>63</v>
      </c>
      <c r="E125" t="s">
        <v>211</v>
      </c>
      <c r="F125">
        <v>5.58</v>
      </c>
      <c r="G125" s="2"/>
    </row>
    <row r="126" spans="1:7" ht="17" hidden="1" customHeight="1" x14ac:dyDescent="0.2">
      <c r="A126" t="s">
        <v>13</v>
      </c>
      <c r="B126" t="s">
        <v>64</v>
      </c>
      <c r="C126" t="s">
        <v>65</v>
      </c>
      <c r="D126" s="1" t="s">
        <v>67</v>
      </c>
      <c r="E126" t="s">
        <v>211</v>
      </c>
      <c r="F126">
        <v>7.5119999999999996</v>
      </c>
      <c r="G126" s="2"/>
    </row>
    <row r="127" spans="1:7" ht="17" hidden="1" customHeight="1" x14ac:dyDescent="0.2">
      <c r="A127" t="s">
        <v>13</v>
      </c>
      <c r="B127" t="s">
        <v>64</v>
      </c>
      <c r="C127" t="s">
        <v>68</v>
      </c>
      <c r="D127" s="1" t="s">
        <v>70</v>
      </c>
      <c r="E127" t="s">
        <v>211</v>
      </c>
      <c r="F127">
        <v>11.757999999999999</v>
      </c>
      <c r="G127" s="2"/>
    </row>
    <row r="128" spans="1:7" ht="17" hidden="1" customHeight="1" x14ac:dyDescent="0.2">
      <c r="A128" t="s">
        <v>13</v>
      </c>
      <c r="B128" t="s">
        <v>64</v>
      </c>
      <c r="C128" t="s">
        <v>71</v>
      </c>
      <c r="D128" s="1" t="s">
        <v>73</v>
      </c>
      <c r="E128" t="s">
        <v>211</v>
      </c>
      <c r="F128">
        <v>7.7119999999999997</v>
      </c>
      <c r="G128" s="2"/>
    </row>
    <row r="129" spans="1:7" ht="17" hidden="1" customHeight="1" x14ac:dyDescent="0.2">
      <c r="A129" t="s">
        <v>13</v>
      </c>
      <c r="B129" t="s">
        <v>64</v>
      </c>
      <c r="C129" t="s">
        <v>74</v>
      </c>
      <c r="D129" s="1" t="s">
        <v>76</v>
      </c>
      <c r="E129" t="s">
        <v>211</v>
      </c>
      <c r="F129">
        <v>10.595000000000001</v>
      </c>
      <c r="G129" s="2"/>
    </row>
    <row r="130" spans="1:7" ht="17" hidden="1" customHeight="1" x14ac:dyDescent="0.2">
      <c r="A130" t="s">
        <v>13</v>
      </c>
      <c r="B130" t="s">
        <v>64</v>
      </c>
      <c r="C130" t="s">
        <v>77</v>
      </c>
      <c r="D130" s="1" t="s">
        <v>79</v>
      </c>
      <c r="E130" t="s">
        <v>211</v>
      </c>
      <c r="F130">
        <v>12.237</v>
      </c>
      <c r="G130" s="2"/>
    </row>
    <row r="131" spans="1:7" ht="17" hidden="1" customHeight="1" x14ac:dyDescent="0.2">
      <c r="A131" t="s">
        <v>13</v>
      </c>
      <c r="B131" t="s">
        <v>80</v>
      </c>
      <c r="C131" t="s">
        <v>81</v>
      </c>
      <c r="D131" s="1" t="s">
        <v>83</v>
      </c>
      <c r="E131" t="s">
        <v>211</v>
      </c>
      <c r="F131">
        <v>18.114000000000001</v>
      </c>
      <c r="G131" s="2"/>
    </row>
    <row r="132" spans="1:7" ht="17" hidden="1" customHeight="1" x14ac:dyDescent="0.2">
      <c r="A132" t="s">
        <v>13</v>
      </c>
      <c r="B132" t="s">
        <v>80</v>
      </c>
      <c r="C132" t="s">
        <v>84</v>
      </c>
      <c r="D132" s="1" t="s">
        <v>86</v>
      </c>
      <c r="E132" t="s">
        <v>211</v>
      </c>
      <c r="F132">
        <v>33.472999999999999</v>
      </c>
      <c r="G132" s="2"/>
    </row>
    <row r="133" spans="1:7" ht="17" hidden="1" customHeight="1" x14ac:dyDescent="0.2">
      <c r="A133" t="s">
        <v>13</v>
      </c>
      <c r="B133" t="s">
        <v>80</v>
      </c>
      <c r="C133" t="s">
        <v>87</v>
      </c>
      <c r="D133" s="1" t="s">
        <v>89</v>
      </c>
      <c r="E133" t="s">
        <v>211</v>
      </c>
      <c r="F133">
        <v>16.158999999999999</v>
      </c>
      <c r="G133" s="2"/>
    </row>
    <row r="134" spans="1:7" ht="17" hidden="1" customHeight="1" x14ac:dyDescent="0.2">
      <c r="A134" t="s">
        <v>13</v>
      </c>
      <c r="B134" t="s">
        <v>80</v>
      </c>
      <c r="C134" t="s">
        <v>90</v>
      </c>
      <c r="D134" s="1" t="s">
        <v>92</v>
      </c>
      <c r="E134" t="s">
        <v>211</v>
      </c>
      <c r="F134">
        <v>22.021000000000001</v>
      </c>
      <c r="G134" s="2"/>
    </row>
    <row r="135" spans="1:7" ht="17" hidden="1" customHeight="1" x14ac:dyDescent="0.2">
      <c r="A135" t="s">
        <v>13</v>
      </c>
      <c r="B135" t="s">
        <v>80</v>
      </c>
      <c r="C135" t="s">
        <v>93</v>
      </c>
      <c r="D135" s="1" t="s">
        <v>95</v>
      </c>
      <c r="E135" t="s">
        <v>211</v>
      </c>
      <c r="F135">
        <v>13.723000000000001</v>
      </c>
      <c r="G135" s="2"/>
    </row>
    <row r="136" spans="1:7" ht="17" hidden="1" customHeight="1" x14ac:dyDescent="0.2">
      <c r="A136" t="s">
        <v>13</v>
      </c>
      <c r="B136" t="s">
        <v>80</v>
      </c>
      <c r="C136" t="s">
        <v>96</v>
      </c>
      <c r="D136" s="1" t="s">
        <v>98</v>
      </c>
      <c r="E136" t="s">
        <v>211</v>
      </c>
      <c r="F136">
        <v>21.934999999999999</v>
      </c>
      <c r="G136" s="2"/>
    </row>
    <row r="137" spans="1:7" ht="17" hidden="1" customHeight="1" x14ac:dyDescent="0.2">
      <c r="A137" t="s">
        <v>13</v>
      </c>
      <c r="B137" t="s">
        <v>80</v>
      </c>
      <c r="C137" t="s">
        <v>99</v>
      </c>
      <c r="D137" s="1" t="s">
        <v>101</v>
      </c>
      <c r="E137" t="s">
        <v>211</v>
      </c>
      <c r="F137">
        <v>20.507000000000001</v>
      </c>
      <c r="G137" s="2"/>
    </row>
    <row r="138" spans="1:7" ht="17" hidden="1" customHeight="1" x14ac:dyDescent="0.2">
      <c r="A138" t="s">
        <v>13</v>
      </c>
      <c r="B138" t="s">
        <v>80</v>
      </c>
      <c r="C138" t="s">
        <v>102</v>
      </c>
      <c r="D138" s="1" t="s">
        <v>104</v>
      </c>
      <c r="E138" t="s">
        <v>211</v>
      </c>
      <c r="F138">
        <v>20.555</v>
      </c>
      <c r="G138" s="2"/>
    </row>
    <row r="139" spans="1:7" ht="17" hidden="1" customHeight="1" x14ac:dyDescent="0.2">
      <c r="A139" t="s">
        <v>13</v>
      </c>
      <c r="B139" t="s">
        <v>105</v>
      </c>
      <c r="C139" t="s">
        <v>106</v>
      </c>
      <c r="D139" s="1" t="s">
        <v>108</v>
      </c>
      <c r="E139" t="s">
        <v>211</v>
      </c>
      <c r="F139">
        <v>12.48</v>
      </c>
      <c r="G139" s="2"/>
    </row>
    <row r="140" spans="1:7" ht="17" hidden="1" customHeight="1" x14ac:dyDescent="0.2">
      <c r="A140" t="s">
        <v>13</v>
      </c>
      <c r="B140" t="s">
        <v>105</v>
      </c>
      <c r="C140" t="s">
        <v>109</v>
      </c>
      <c r="D140" s="1" t="s">
        <v>111</v>
      </c>
      <c r="E140" t="s">
        <v>211</v>
      </c>
      <c r="F140">
        <v>8.2100000000000009</v>
      </c>
      <c r="G140" s="2"/>
    </row>
    <row r="141" spans="1:7" ht="17" hidden="1" customHeight="1" x14ac:dyDescent="0.2">
      <c r="A141" t="s">
        <v>13</v>
      </c>
      <c r="B141" t="s">
        <v>105</v>
      </c>
      <c r="C141" t="s">
        <v>112</v>
      </c>
      <c r="D141" s="1" t="s">
        <v>114</v>
      </c>
      <c r="E141" t="s">
        <v>211</v>
      </c>
      <c r="F141">
        <v>18.969000000000001</v>
      </c>
      <c r="G141" s="2"/>
    </row>
    <row r="142" spans="1:7" ht="17" hidden="1" customHeight="1" x14ac:dyDescent="0.2">
      <c r="A142" t="s">
        <v>13</v>
      </c>
      <c r="B142" t="s">
        <v>105</v>
      </c>
      <c r="C142" t="s">
        <v>115</v>
      </c>
      <c r="D142" s="1" t="s">
        <v>117</v>
      </c>
      <c r="E142" t="s">
        <v>211</v>
      </c>
      <c r="F142">
        <v>15.916</v>
      </c>
      <c r="G142" s="2"/>
    </row>
    <row r="143" spans="1:7" ht="17" hidden="1" customHeight="1" x14ac:dyDescent="0.2">
      <c r="A143" t="s">
        <v>13</v>
      </c>
      <c r="B143" t="s">
        <v>105</v>
      </c>
      <c r="C143" t="s">
        <v>118</v>
      </c>
      <c r="D143" s="1" t="s">
        <v>120</v>
      </c>
      <c r="E143" t="s">
        <v>211</v>
      </c>
      <c r="F143">
        <v>11.878</v>
      </c>
      <c r="G143" s="2"/>
    </row>
    <row r="144" spans="1:7" ht="17" hidden="1" customHeight="1" x14ac:dyDescent="0.2">
      <c r="A144" t="s">
        <v>13</v>
      </c>
      <c r="B144" t="s">
        <v>121</v>
      </c>
      <c r="C144" t="s">
        <v>122</v>
      </c>
      <c r="D144" s="1" t="s">
        <v>124</v>
      </c>
      <c r="E144" t="s">
        <v>211</v>
      </c>
      <c r="F144">
        <v>14.388999999999999</v>
      </c>
      <c r="G144" s="2"/>
    </row>
    <row r="145" spans="1:7" ht="17" hidden="1" customHeight="1" x14ac:dyDescent="0.2">
      <c r="A145" t="s">
        <v>13</v>
      </c>
      <c r="B145" t="s">
        <v>121</v>
      </c>
      <c r="C145" t="s">
        <v>125</v>
      </c>
      <c r="D145" s="1" t="s">
        <v>127</v>
      </c>
      <c r="E145" t="s">
        <v>211</v>
      </c>
      <c r="F145">
        <v>12.526</v>
      </c>
      <c r="G145" s="2"/>
    </row>
    <row r="146" spans="1:7" ht="17" hidden="1" customHeight="1" x14ac:dyDescent="0.2">
      <c r="A146" t="s">
        <v>129</v>
      </c>
      <c r="B146" t="s">
        <v>14</v>
      </c>
      <c r="C146" t="s">
        <v>15</v>
      </c>
      <c r="D146" s="1" t="s">
        <v>130</v>
      </c>
      <c r="E146" t="s">
        <v>211</v>
      </c>
      <c r="F146">
        <v>14.358000000000001</v>
      </c>
      <c r="G146" s="2"/>
    </row>
    <row r="147" spans="1:7" ht="17" hidden="1" customHeight="1" x14ac:dyDescent="0.2">
      <c r="A147" t="s">
        <v>129</v>
      </c>
      <c r="B147" t="s">
        <v>14</v>
      </c>
      <c r="C147" t="s">
        <v>18</v>
      </c>
      <c r="D147" s="1" t="s">
        <v>131</v>
      </c>
      <c r="E147" t="s">
        <v>211</v>
      </c>
      <c r="F147">
        <v>15.864000000000001</v>
      </c>
      <c r="G147" s="2"/>
    </row>
    <row r="148" spans="1:7" ht="17" hidden="1" customHeight="1" x14ac:dyDescent="0.2">
      <c r="A148" t="s">
        <v>129</v>
      </c>
      <c r="B148" t="s">
        <v>14</v>
      </c>
      <c r="C148" t="s">
        <v>21</v>
      </c>
      <c r="D148" s="1" t="s">
        <v>132</v>
      </c>
      <c r="E148" t="s">
        <v>211</v>
      </c>
      <c r="F148">
        <v>15.7</v>
      </c>
      <c r="G148" s="2"/>
    </row>
    <row r="149" spans="1:7" ht="17" hidden="1" customHeight="1" x14ac:dyDescent="0.2">
      <c r="A149" t="s">
        <v>129</v>
      </c>
      <c r="B149" t="s">
        <v>14</v>
      </c>
      <c r="C149" t="s">
        <v>24</v>
      </c>
      <c r="D149" s="1" t="s">
        <v>133</v>
      </c>
      <c r="E149" t="s">
        <v>211</v>
      </c>
      <c r="F149">
        <v>11.932</v>
      </c>
      <c r="G149" s="2"/>
    </row>
    <row r="150" spans="1:7" ht="17" hidden="1" customHeight="1" x14ac:dyDescent="0.2">
      <c r="A150" t="s">
        <v>129</v>
      </c>
      <c r="B150" t="s">
        <v>14</v>
      </c>
      <c r="C150" t="s">
        <v>27</v>
      </c>
      <c r="D150" s="1" t="s">
        <v>134</v>
      </c>
      <c r="E150" t="s">
        <v>211</v>
      </c>
      <c r="F150">
        <v>16.64</v>
      </c>
      <c r="G150" s="2"/>
    </row>
    <row r="151" spans="1:7" ht="17" hidden="1" customHeight="1" x14ac:dyDescent="0.2">
      <c r="A151" t="s">
        <v>129</v>
      </c>
      <c r="B151" t="s">
        <v>14</v>
      </c>
      <c r="C151" t="s">
        <v>30</v>
      </c>
      <c r="D151" s="1" t="s">
        <v>135</v>
      </c>
      <c r="E151" t="s">
        <v>211</v>
      </c>
      <c r="F151">
        <v>18.358000000000001</v>
      </c>
      <c r="G151" s="2"/>
    </row>
    <row r="152" spans="1:7" ht="17" hidden="1" customHeight="1" x14ac:dyDescent="0.2">
      <c r="A152" t="s">
        <v>129</v>
      </c>
      <c r="B152" t="s">
        <v>33</v>
      </c>
      <c r="C152" t="s">
        <v>34</v>
      </c>
      <c r="D152" s="1" t="s">
        <v>136</v>
      </c>
      <c r="E152" t="s">
        <v>211</v>
      </c>
      <c r="F152">
        <v>17.381</v>
      </c>
      <c r="G152" s="2"/>
    </row>
    <row r="153" spans="1:7" ht="17" hidden="1" customHeight="1" x14ac:dyDescent="0.2">
      <c r="A153" t="s">
        <v>129</v>
      </c>
      <c r="B153" t="s">
        <v>33</v>
      </c>
      <c r="C153" t="s">
        <v>37</v>
      </c>
      <c r="D153" s="1" t="s">
        <v>137</v>
      </c>
      <c r="E153" t="s">
        <v>211</v>
      </c>
      <c r="F153">
        <v>14.519</v>
      </c>
      <c r="G153" s="2"/>
    </row>
    <row r="154" spans="1:7" ht="17" hidden="1" customHeight="1" x14ac:dyDescent="0.2">
      <c r="A154" t="s">
        <v>129</v>
      </c>
      <c r="B154" t="s">
        <v>33</v>
      </c>
      <c r="C154" t="s">
        <v>40</v>
      </c>
      <c r="D154" s="1" t="s">
        <v>138</v>
      </c>
      <c r="E154" t="s">
        <v>211</v>
      </c>
      <c r="F154">
        <v>16.119</v>
      </c>
      <c r="G154" s="2"/>
    </row>
    <row r="155" spans="1:7" ht="17" hidden="1" customHeight="1" x14ac:dyDescent="0.2">
      <c r="A155" t="s">
        <v>129</v>
      </c>
      <c r="B155" t="s">
        <v>33</v>
      </c>
      <c r="C155" t="s">
        <v>43</v>
      </c>
      <c r="D155" s="1" t="s">
        <v>139</v>
      </c>
      <c r="E155" t="s">
        <v>211</v>
      </c>
      <c r="F155">
        <v>21.117000000000001</v>
      </c>
      <c r="G155" s="2"/>
    </row>
    <row r="156" spans="1:7" ht="17" hidden="1" customHeight="1" x14ac:dyDescent="0.2">
      <c r="A156" t="s">
        <v>129</v>
      </c>
      <c r="B156" t="s">
        <v>33</v>
      </c>
      <c r="C156" t="s">
        <v>46</v>
      </c>
      <c r="D156" s="1" t="s">
        <v>140</v>
      </c>
      <c r="E156" t="s">
        <v>211</v>
      </c>
      <c r="F156">
        <v>15.638999999999999</v>
      </c>
      <c r="G156" s="2"/>
    </row>
    <row r="157" spans="1:7" ht="17" hidden="1" customHeight="1" x14ac:dyDescent="0.2">
      <c r="A157" t="s">
        <v>129</v>
      </c>
      <c r="B157" t="s">
        <v>33</v>
      </c>
      <c r="C157" t="s">
        <v>49</v>
      </c>
      <c r="D157" s="1" t="s">
        <v>141</v>
      </c>
      <c r="E157" t="s">
        <v>211</v>
      </c>
      <c r="F157">
        <v>18.366</v>
      </c>
      <c r="G157" s="2"/>
    </row>
    <row r="158" spans="1:7" ht="17" hidden="1" customHeight="1" x14ac:dyDescent="0.2">
      <c r="A158" t="s">
        <v>129</v>
      </c>
      <c r="B158" t="s">
        <v>33</v>
      </c>
      <c r="C158" t="s">
        <v>52</v>
      </c>
      <c r="D158" s="1" t="s">
        <v>142</v>
      </c>
      <c r="E158" t="s">
        <v>211</v>
      </c>
      <c r="F158">
        <v>19.622</v>
      </c>
      <c r="G158" s="2"/>
    </row>
    <row r="159" spans="1:7" ht="17" hidden="1" customHeight="1" x14ac:dyDescent="0.2">
      <c r="A159" t="s">
        <v>129</v>
      </c>
      <c r="B159" t="s">
        <v>33</v>
      </c>
      <c r="C159" t="s">
        <v>55</v>
      </c>
      <c r="D159" s="1" t="s">
        <v>143</v>
      </c>
      <c r="E159" t="s">
        <v>211</v>
      </c>
      <c r="F159">
        <v>13.779</v>
      </c>
      <c r="G159" s="2"/>
    </row>
    <row r="160" spans="1:7" ht="17" hidden="1" customHeight="1" x14ac:dyDescent="0.2">
      <c r="A160" t="s">
        <v>129</v>
      </c>
      <c r="B160" t="s">
        <v>33</v>
      </c>
      <c r="C160" t="s">
        <v>58</v>
      </c>
      <c r="D160" s="1" t="s">
        <v>144</v>
      </c>
      <c r="E160" t="s">
        <v>211</v>
      </c>
      <c r="F160">
        <v>16.247</v>
      </c>
      <c r="G160" s="2"/>
    </row>
    <row r="161" spans="1:7" ht="17" hidden="1" customHeight="1" x14ac:dyDescent="0.2">
      <c r="A161" t="s">
        <v>129</v>
      </c>
      <c r="B161" t="s">
        <v>33</v>
      </c>
      <c r="C161" t="s">
        <v>61</v>
      </c>
      <c r="D161" s="1" t="s">
        <v>145</v>
      </c>
      <c r="E161" t="s">
        <v>211</v>
      </c>
      <c r="F161">
        <v>15.518000000000001</v>
      </c>
      <c r="G161" s="2"/>
    </row>
    <row r="162" spans="1:7" ht="17" hidden="1" customHeight="1" x14ac:dyDescent="0.2">
      <c r="A162" t="s">
        <v>129</v>
      </c>
      <c r="B162" t="s">
        <v>64</v>
      </c>
      <c r="C162" t="s">
        <v>65</v>
      </c>
      <c r="D162" s="1" t="s">
        <v>146</v>
      </c>
      <c r="E162" t="s">
        <v>211</v>
      </c>
      <c r="F162">
        <v>10.65</v>
      </c>
      <c r="G162" s="2"/>
    </row>
    <row r="163" spans="1:7" ht="17" hidden="1" customHeight="1" x14ac:dyDescent="0.2">
      <c r="A163" t="s">
        <v>129</v>
      </c>
      <c r="B163" t="s">
        <v>64</v>
      </c>
      <c r="C163" t="s">
        <v>68</v>
      </c>
      <c r="D163" s="1" t="s">
        <v>147</v>
      </c>
      <c r="E163" t="s">
        <v>211</v>
      </c>
      <c r="F163">
        <v>15.096</v>
      </c>
      <c r="G163" s="2"/>
    </row>
    <row r="164" spans="1:7" ht="17" hidden="1" customHeight="1" x14ac:dyDescent="0.2">
      <c r="A164" t="s">
        <v>129</v>
      </c>
      <c r="B164" t="s">
        <v>64</v>
      </c>
      <c r="C164" t="s">
        <v>71</v>
      </c>
      <c r="D164" s="1" t="s">
        <v>148</v>
      </c>
      <c r="E164" t="s">
        <v>211</v>
      </c>
      <c r="F164">
        <v>18.716000000000001</v>
      </c>
      <c r="G164" s="2"/>
    </row>
    <row r="165" spans="1:7" ht="17" hidden="1" customHeight="1" x14ac:dyDescent="0.2">
      <c r="A165" t="s">
        <v>129</v>
      </c>
      <c r="B165" t="s">
        <v>64</v>
      </c>
      <c r="C165" t="s">
        <v>74</v>
      </c>
      <c r="D165" s="1" t="s">
        <v>149</v>
      </c>
      <c r="E165" t="s">
        <v>211</v>
      </c>
      <c r="F165">
        <v>14.923999999999999</v>
      </c>
      <c r="G165" s="2"/>
    </row>
    <row r="166" spans="1:7" ht="17" hidden="1" customHeight="1" x14ac:dyDescent="0.2">
      <c r="A166" t="s">
        <v>129</v>
      </c>
      <c r="B166" t="s">
        <v>64</v>
      </c>
      <c r="C166" t="s">
        <v>77</v>
      </c>
      <c r="D166" s="1" t="s">
        <v>150</v>
      </c>
      <c r="E166" t="s">
        <v>211</v>
      </c>
      <c r="F166">
        <v>12.404999999999999</v>
      </c>
      <c r="G166" s="2"/>
    </row>
    <row r="167" spans="1:7" ht="17" hidden="1" customHeight="1" x14ac:dyDescent="0.2">
      <c r="A167" t="s">
        <v>129</v>
      </c>
      <c r="B167" t="s">
        <v>80</v>
      </c>
      <c r="C167" t="s">
        <v>81</v>
      </c>
      <c r="D167" s="1" t="s">
        <v>151</v>
      </c>
      <c r="E167" t="s">
        <v>211</v>
      </c>
      <c r="F167">
        <v>18.850999999999999</v>
      </c>
      <c r="G167" s="2"/>
    </row>
    <row r="168" spans="1:7" ht="17" hidden="1" customHeight="1" x14ac:dyDescent="0.2">
      <c r="A168" t="s">
        <v>129</v>
      </c>
      <c r="B168" t="s">
        <v>80</v>
      </c>
      <c r="C168" t="s">
        <v>84</v>
      </c>
      <c r="D168" s="1" t="s">
        <v>152</v>
      </c>
      <c r="E168" t="s">
        <v>211</v>
      </c>
      <c r="F168">
        <v>17.68</v>
      </c>
      <c r="G168" s="2"/>
    </row>
    <row r="169" spans="1:7" ht="17" hidden="1" customHeight="1" x14ac:dyDescent="0.2">
      <c r="A169" t="s">
        <v>129</v>
      </c>
      <c r="B169" t="s">
        <v>80</v>
      </c>
      <c r="C169" t="s">
        <v>87</v>
      </c>
      <c r="D169" s="1" t="s">
        <v>153</v>
      </c>
      <c r="E169" t="s">
        <v>211</v>
      </c>
      <c r="F169">
        <v>19.686</v>
      </c>
      <c r="G169" s="2"/>
    </row>
    <row r="170" spans="1:7" ht="17" hidden="1" customHeight="1" x14ac:dyDescent="0.2">
      <c r="A170" t="s">
        <v>129</v>
      </c>
      <c r="B170" t="s">
        <v>80</v>
      </c>
      <c r="C170" t="s">
        <v>90</v>
      </c>
      <c r="D170" s="1" t="s">
        <v>154</v>
      </c>
      <c r="E170" t="s">
        <v>211</v>
      </c>
      <c r="F170">
        <v>15.2</v>
      </c>
      <c r="G170" s="2"/>
    </row>
    <row r="171" spans="1:7" ht="17" hidden="1" customHeight="1" x14ac:dyDescent="0.2">
      <c r="A171" t="s">
        <v>129</v>
      </c>
      <c r="B171" t="s">
        <v>80</v>
      </c>
      <c r="C171" t="s">
        <v>93</v>
      </c>
      <c r="D171" s="1" t="s">
        <v>155</v>
      </c>
      <c r="E171" t="s">
        <v>211</v>
      </c>
      <c r="F171">
        <v>15.069000000000001</v>
      </c>
      <c r="G171" s="2"/>
    </row>
    <row r="172" spans="1:7" ht="17" hidden="1" customHeight="1" x14ac:dyDescent="0.2">
      <c r="A172" t="s">
        <v>129</v>
      </c>
      <c r="B172" t="s">
        <v>80</v>
      </c>
      <c r="C172" t="s">
        <v>96</v>
      </c>
      <c r="D172" s="1" t="s">
        <v>156</v>
      </c>
      <c r="E172" t="s">
        <v>211</v>
      </c>
      <c r="F172">
        <v>16.268999999999998</v>
      </c>
      <c r="G172" s="2"/>
    </row>
    <row r="173" spans="1:7" ht="17" hidden="1" customHeight="1" x14ac:dyDescent="0.2">
      <c r="A173" t="s">
        <v>129</v>
      </c>
      <c r="B173" t="s">
        <v>80</v>
      </c>
      <c r="C173" t="s">
        <v>99</v>
      </c>
      <c r="D173" s="1" t="s">
        <v>157</v>
      </c>
      <c r="E173" t="s">
        <v>211</v>
      </c>
      <c r="F173">
        <v>17.289000000000001</v>
      </c>
      <c r="G173" s="2"/>
    </row>
    <row r="174" spans="1:7" ht="17" hidden="1" customHeight="1" x14ac:dyDescent="0.2">
      <c r="A174" t="s">
        <v>129</v>
      </c>
      <c r="B174" t="s">
        <v>80</v>
      </c>
      <c r="C174" t="s">
        <v>102</v>
      </c>
      <c r="D174" s="1" t="s">
        <v>158</v>
      </c>
      <c r="E174" t="s">
        <v>211</v>
      </c>
      <c r="F174">
        <v>16.079000000000001</v>
      </c>
      <c r="G174" s="2"/>
    </row>
    <row r="175" spans="1:7" ht="17" hidden="1" customHeight="1" x14ac:dyDescent="0.2">
      <c r="A175" t="s">
        <v>129</v>
      </c>
      <c r="B175" t="s">
        <v>105</v>
      </c>
      <c r="C175" t="s">
        <v>106</v>
      </c>
      <c r="D175" s="1" t="s">
        <v>159</v>
      </c>
      <c r="E175" t="s">
        <v>211</v>
      </c>
      <c r="F175">
        <v>14.32</v>
      </c>
      <c r="G175" s="2"/>
    </row>
    <row r="176" spans="1:7" ht="17" hidden="1" customHeight="1" x14ac:dyDescent="0.2">
      <c r="A176" t="s">
        <v>129</v>
      </c>
      <c r="B176" t="s">
        <v>105</v>
      </c>
      <c r="C176" t="s">
        <v>109</v>
      </c>
      <c r="D176" s="1" t="s">
        <v>160</v>
      </c>
      <c r="E176" t="s">
        <v>211</v>
      </c>
      <c r="F176">
        <v>12.205</v>
      </c>
      <c r="G176" s="2"/>
    </row>
    <row r="177" spans="1:7" ht="17" hidden="1" customHeight="1" x14ac:dyDescent="0.2">
      <c r="A177" t="s">
        <v>129</v>
      </c>
      <c r="B177" t="s">
        <v>105</v>
      </c>
      <c r="C177" t="s">
        <v>112</v>
      </c>
      <c r="D177" s="1" t="s">
        <v>161</v>
      </c>
      <c r="E177" t="s">
        <v>211</v>
      </c>
      <c r="F177">
        <v>18.428000000000001</v>
      </c>
      <c r="G177" s="2"/>
    </row>
    <row r="178" spans="1:7" ht="17" hidden="1" customHeight="1" x14ac:dyDescent="0.2">
      <c r="A178" t="s">
        <v>129</v>
      </c>
      <c r="B178" t="s">
        <v>105</v>
      </c>
      <c r="C178" t="s">
        <v>115</v>
      </c>
      <c r="D178" s="1" t="s">
        <v>162</v>
      </c>
      <c r="E178" t="s">
        <v>211</v>
      </c>
      <c r="F178">
        <v>13.959</v>
      </c>
      <c r="G178" s="2"/>
    </row>
    <row r="179" spans="1:7" ht="17" hidden="1" customHeight="1" x14ac:dyDescent="0.2">
      <c r="A179" t="s">
        <v>129</v>
      </c>
      <c r="B179" t="s">
        <v>105</v>
      </c>
      <c r="C179" t="s">
        <v>118</v>
      </c>
      <c r="D179" s="1" t="s">
        <v>163</v>
      </c>
      <c r="E179" t="s">
        <v>211</v>
      </c>
      <c r="F179">
        <v>15.983000000000001</v>
      </c>
      <c r="G179" s="2"/>
    </row>
    <row r="180" spans="1:7" ht="17" hidden="1" customHeight="1" x14ac:dyDescent="0.2">
      <c r="A180" t="s">
        <v>129</v>
      </c>
      <c r="B180" t="s">
        <v>121</v>
      </c>
      <c r="C180" t="s">
        <v>122</v>
      </c>
      <c r="D180" s="1" t="s">
        <v>164</v>
      </c>
      <c r="E180" t="s">
        <v>211</v>
      </c>
      <c r="F180">
        <v>18.373999999999999</v>
      </c>
      <c r="G180" s="2"/>
    </row>
    <row r="181" spans="1:7" ht="17" hidden="1" customHeight="1" x14ac:dyDescent="0.2">
      <c r="A181" t="s">
        <v>129</v>
      </c>
      <c r="B181" t="s">
        <v>121</v>
      </c>
      <c r="C181" t="s">
        <v>125</v>
      </c>
      <c r="D181" s="1" t="s">
        <v>165</v>
      </c>
      <c r="E181" t="s">
        <v>211</v>
      </c>
      <c r="F181">
        <v>17.367999999999999</v>
      </c>
      <c r="G181" s="2"/>
    </row>
    <row r="182" spans="1:7" ht="17" hidden="1" customHeight="1" x14ac:dyDescent="0.2">
      <c r="A182" t="s">
        <v>167</v>
      </c>
      <c r="B182" t="s">
        <v>14</v>
      </c>
      <c r="C182" t="s">
        <v>15</v>
      </c>
      <c r="D182" s="1" t="s">
        <v>168</v>
      </c>
      <c r="E182" t="s">
        <v>211</v>
      </c>
      <c r="F182">
        <v>16.98</v>
      </c>
      <c r="G182" s="2"/>
    </row>
    <row r="183" spans="1:7" ht="17" hidden="1" customHeight="1" x14ac:dyDescent="0.2">
      <c r="A183" t="s">
        <v>167</v>
      </c>
      <c r="B183" t="s">
        <v>14</v>
      </c>
      <c r="C183" t="s">
        <v>18</v>
      </c>
      <c r="D183" s="1" t="s">
        <v>169</v>
      </c>
      <c r="E183" t="s">
        <v>211</v>
      </c>
      <c r="F183">
        <v>15.704000000000001</v>
      </c>
      <c r="G183" s="2"/>
    </row>
    <row r="184" spans="1:7" ht="17" hidden="1" customHeight="1" x14ac:dyDescent="0.2">
      <c r="A184" t="s">
        <v>167</v>
      </c>
      <c r="B184" t="s">
        <v>14</v>
      </c>
      <c r="C184" t="s">
        <v>21</v>
      </c>
      <c r="D184" s="1" t="s">
        <v>170</v>
      </c>
      <c r="E184" t="s">
        <v>211</v>
      </c>
      <c r="F184">
        <v>15.500999999999999</v>
      </c>
      <c r="G184" s="2"/>
    </row>
    <row r="185" spans="1:7" ht="17" hidden="1" customHeight="1" x14ac:dyDescent="0.2">
      <c r="A185" t="s">
        <v>167</v>
      </c>
      <c r="B185" t="s">
        <v>14</v>
      </c>
      <c r="C185" t="s">
        <v>24</v>
      </c>
      <c r="D185" s="1" t="s">
        <v>171</v>
      </c>
      <c r="E185" t="s">
        <v>211</v>
      </c>
      <c r="F185">
        <v>16.231000000000002</v>
      </c>
      <c r="G185" s="2"/>
    </row>
    <row r="186" spans="1:7" ht="17" hidden="1" customHeight="1" x14ac:dyDescent="0.2">
      <c r="A186" t="s">
        <v>167</v>
      </c>
      <c r="B186" t="s">
        <v>14</v>
      </c>
      <c r="C186" t="s">
        <v>27</v>
      </c>
      <c r="D186" s="1" t="s">
        <v>172</v>
      </c>
      <c r="E186" t="s">
        <v>211</v>
      </c>
      <c r="F186">
        <v>22.032</v>
      </c>
      <c r="G186" s="2"/>
    </row>
    <row r="187" spans="1:7" ht="17" hidden="1" customHeight="1" x14ac:dyDescent="0.2">
      <c r="A187" t="s">
        <v>167</v>
      </c>
      <c r="B187" t="s">
        <v>14</v>
      </c>
      <c r="C187" t="s">
        <v>30</v>
      </c>
      <c r="D187" s="1" t="s">
        <v>173</v>
      </c>
      <c r="E187" t="s">
        <v>211</v>
      </c>
      <c r="F187">
        <v>21.292999999999999</v>
      </c>
      <c r="G187" s="2"/>
    </row>
    <row r="188" spans="1:7" ht="17" hidden="1" customHeight="1" x14ac:dyDescent="0.2">
      <c r="A188" t="s">
        <v>167</v>
      </c>
      <c r="B188" t="s">
        <v>33</v>
      </c>
      <c r="C188" t="s">
        <v>34</v>
      </c>
      <c r="D188" s="1" t="s">
        <v>174</v>
      </c>
      <c r="E188" t="s">
        <v>211</v>
      </c>
      <c r="F188">
        <v>15.065</v>
      </c>
      <c r="G188" s="2"/>
    </row>
    <row r="189" spans="1:7" ht="17" hidden="1" customHeight="1" x14ac:dyDescent="0.2">
      <c r="A189" t="s">
        <v>167</v>
      </c>
      <c r="B189" t="s">
        <v>33</v>
      </c>
      <c r="C189" t="s">
        <v>37</v>
      </c>
      <c r="D189" s="1" t="s">
        <v>175</v>
      </c>
      <c r="E189" t="s">
        <v>211</v>
      </c>
      <c r="F189">
        <v>12.839</v>
      </c>
      <c r="G189" s="2"/>
    </row>
    <row r="190" spans="1:7" ht="17" hidden="1" customHeight="1" x14ac:dyDescent="0.2">
      <c r="A190" t="s">
        <v>167</v>
      </c>
      <c r="B190" t="s">
        <v>33</v>
      </c>
      <c r="C190" t="s">
        <v>40</v>
      </c>
      <c r="D190" s="1" t="s">
        <v>176</v>
      </c>
      <c r="E190" t="s">
        <v>211</v>
      </c>
      <c r="F190">
        <v>17.954999999999998</v>
      </c>
      <c r="G190" s="2"/>
    </row>
    <row r="191" spans="1:7" ht="17" hidden="1" customHeight="1" x14ac:dyDescent="0.2">
      <c r="A191" t="s">
        <v>167</v>
      </c>
      <c r="B191" t="s">
        <v>33</v>
      </c>
      <c r="C191" t="s">
        <v>43</v>
      </c>
      <c r="D191" s="1" t="s">
        <v>177</v>
      </c>
      <c r="E191" t="s">
        <v>211</v>
      </c>
      <c r="F191">
        <v>21.056000000000001</v>
      </c>
      <c r="G191" s="2"/>
    </row>
    <row r="192" spans="1:7" ht="17" hidden="1" customHeight="1" x14ac:dyDescent="0.2">
      <c r="A192" t="s">
        <v>167</v>
      </c>
      <c r="B192" t="s">
        <v>33</v>
      </c>
      <c r="C192" t="s">
        <v>46</v>
      </c>
      <c r="D192" s="1" t="s">
        <v>178</v>
      </c>
      <c r="E192" t="s">
        <v>211</v>
      </c>
      <c r="F192">
        <v>21.099</v>
      </c>
      <c r="G192" s="2"/>
    </row>
    <row r="193" spans="1:7" ht="17" hidden="1" customHeight="1" x14ac:dyDescent="0.2">
      <c r="A193" t="s">
        <v>167</v>
      </c>
      <c r="B193" t="s">
        <v>33</v>
      </c>
      <c r="C193" t="s">
        <v>49</v>
      </c>
      <c r="D193" s="1" t="s">
        <v>179</v>
      </c>
      <c r="E193" t="s">
        <v>211</v>
      </c>
      <c r="F193">
        <v>17.923999999999999</v>
      </c>
      <c r="G193" s="2"/>
    </row>
    <row r="194" spans="1:7" ht="17" hidden="1" customHeight="1" x14ac:dyDescent="0.2">
      <c r="A194" t="s">
        <v>167</v>
      </c>
      <c r="B194" t="s">
        <v>33</v>
      </c>
      <c r="C194" t="s">
        <v>52</v>
      </c>
      <c r="D194" s="1" t="s">
        <v>180</v>
      </c>
      <c r="E194" t="s">
        <v>211</v>
      </c>
      <c r="F194">
        <v>14.957000000000001</v>
      </c>
      <c r="G194" s="2"/>
    </row>
    <row r="195" spans="1:7" ht="17" hidden="1" customHeight="1" x14ac:dyDescent="0.2">
      <c r="A195" t="s">
        <v>167</v>
      </c>
      <c r="B195" t="s">
        <v>33</v>
      </c>
      <c r="C195" t="s">
        <v>55</v>
      </c>
      <c r="D195" s="1" t="s">
        <v>181</v>
      </c>
      <c r="E195" t="s">
        <v>211</v>
      </c>
      <c r="F195">
        <v>17.794</v>
      </c>
      <c r="G195" s="2"/>
    </row>
    <row r="196" spans="1:7" ht="17" hidden="1" customHeight="1" x14ac:dyDescent="0.2">
      <c r="A196" t="s">
        <v>167</v>
      </c>
      <c r="B196" t="s">
        <v>33</v>
      </c>
      <c r="C196" t="s">
        <v>58</v>
      </c>
      <c r="D196" s="1" t="s">
        <v>182</v>
      </c>
      <c r="E196" t="s">
        <v>211</v>
      </c>
      <c r="F196">
        <v>21.327999999999999</v>
      </c>
      <c r="G196" s="2"/>
    </row>
    <row r="197" spans="1:7" ht="17" hidden="1" customHeight="1" x14ac:dyDescent="0.2">
      <c r="A197" t="s">
        <v>167</v>
      </c>
      <c r="B197" t="s">
        <v>33</v>
      </c>
      <c r="C197" t="s">
        <v>61</v>
      </c>
      <c r="D197" s="1" t="s">
        <v>183</v>
      </c>
      <c r="E197" t="s">
        <v>211</v>
      </c>
      <c r="F197">
        <v>17.504000000000001</v>
      </c>
      <c r="G197" s="2"/>
    </row>
    <row r="198" spans="1:7" ht="17" hidden="1" customHeight="1" x14ac:dyDescent="0.2">
      <c r="A198" t="s">
        <v>167</v>
      </c>
      <c r="B198" t="s">
        <v>64</v>
      </c>
      <c r="C198" t="s">
        <v>65</v>
      </c>
      <c r="D198" s="1" t="s">
        <v>184</v>
      </c>
      <c r="E198" t="s">
        <v>211</v>
      </c>
      <c r="F198">
        <v>14.992000000000001</v>
      </c>
      <c r="G198" s="2"/>
    </row>
    <row r="199" spans="1:7" ht="17" hidden="1" customHeight="1" x14ac:dyDescent="0.2">
      <c r="A199" t="s">
        <v>167</v>
      </c>
      <c r="B199" t="s">
        <v>64</v>
      </c>
      <c r="C199" t="s">
        <v>68</v>
      </c>
      <c r="D199" s="1" t="s">
        <v>185</v>
      </c>
      <c r="E199" t="s">
        <v>211</v>
      </c>
      <c r="F199">
        <v>15.019</v>
      </c>
      <c r="G199" s="2"/>
    </row>
    <row r="200" spans="1:7" ht="17" hidden="1" customHeight="1" x14ac:dyDescent="0.2">
      <c r="A200" t="s">
        <v>167</v>
      </c>
      <c r="B200" t="s">
        <v>64</v>
      </c>
      <c r="C200" t="s">
        <v>71</v>
      </c>
      <c r="D200" s="1" t="s">
        <v>186</v>
      </c>
      <c r="E200" t="s">
        <v>211</v>
      </c>
      <c r="F200">
        <v>17.670999999999999</v>
      </c>
      <c r="G200" s="2"/>
    </row>
    <row r="201" spans="1:7" ht="17" hidden="1" customHeight="1" x14ac:dyDescent="0.2">
      <c r="A201" t="s">
        <v>167</v>
      </c>
      <c r="B201" t="s">
        <v>64</v>
      </c>
      <c r="C201" t="s">
        <v>74</v>
      </c>
      <c r="D201" s="1" t="s">
        <v>187</v>
      </c>
      <c r="E201" t="s">
        <v>211</v>
      </c>
      <c r="F201">
        <v>16.327000000000002</v>
      </c>
      <c r="G201" s="2"/>
    </row>
    <row r="202" spans="1:7" ht="17" hidden="1" customHeight="1" x14ac:dyDescent="0.2">
      <c r="A202" t="s">
        <v>167</v>
      </c>
      <c r="B202" t="s">
        <v>64</v>
      </c>
      <c r="C202" t="s">
        <v>77</v>
      </c>
      <c r="D202" s="1" t="s">
        <v>188</v>
      </c>
      <c r="E202" t="s">
        <v>211</v>
      </c>
      <c r="F202">
        <v>15.571999999999999</v>
      </c>
      <c r="G202" s="2"/>
    </row>
    <row r="203" spans="1:7" ht="17" hidden="1" customHeight="1" x14ac:dyDescent="0.2">
      <c r="A203" t="s">
        <v>167</v>
      </c>
      <c r="B203" t="s">
        <v>80</v>
      </c>
      <c r="C203" t="s">
        <v>81</v>
      </c>
      <c r="D203" s="1" t="s">
        <v>189</v>
      </c>
      <c r="E203" t="s">
        <v>211</v>
      </c>
      <c r="F203">
        <v>14.336</v>
      </c>
      <c r="G203" s="2"/>
    </row>
    <row r="204" spans="1:7" ht="17" hidden="1" customHeight="1" x14ac:dyDescent="0.2">
      <c r="A204" t="s">
        <v>167</v>
      </c>
      <c r="B204" t="s">
        <v>80</v>
      </c>
      <c r="C204" t="s">
        <v>84</v>
      </c>
      <c r="D204" s="1" t="s">
        <v>190</v>
      </c>
      <c r="E204" t="s">
        <v>211</v>
      </c>
      <c r="F204">
        <v>18.584</v>
      </c>
      <c r="G204" s="2"/>
    </row>
    <row r="205" spans="1:7" ht="17" hidden="1" customHeight="1" x14ac:dyDescent="0.2">
      <c r="A205" t="s">
        <v>167</v>
      </c>
      <c r="B205" t="s">
        <v>80</v>
      </c>
      <c r="C205" t="s">
        <v>87</v>
      </c>
      <c r="D205" s="1" t="s">
        <v>191</v>
      </c>
      <c r="E205" t="s">
        <v>211</v>
      </c>
      <c r="F205">
        <v>18.431000000000001</v>
      </c>
      <c r="G205" s="2"/>
    </row>
    <row r="206" spans="1:7" ht="17" hidden="1" customHeight="1" x14ac:dyDescent="0.2">
      <c r="A206" t="s">
        <v>167</v>
      </c>
      <c r="B206" t="s">
        <v>80</v>
      </c>
      <c r="C206" t="s">
        <v>90</v>
      </c>
      <c r="D206" s="1" t="s">
        <v>192</v>
      </c>
      <c r="E206" t="s">
        <v>211</v>
      </c>
      <c r="F206">
        <v>18.954000000000001</v>
      </c>
      <c r="G206" s="2"/>
    </row>
    <row r="207" spans="1:7" ht="17" hidden="1" customHeight="1" x14ac:dyDescent="0.2">
      <c r="A207" t="s">
        <v>167</v>
      </c>
      <c r="B207" t="s">
        <v>80</v>
      </c>
      <c r="C207" t="s">
        <v>93</v>
      </c>
      <c r="D207" s="1" t="s">
        <v>193</v>
      </c>
      <c r="E207" t="s">
        <v>211</v>
      </c>
      <c r="F207">
        <v>18.059000000000001</v>
      </c>
      <c r="G207" s="2"/>
    </row>
    <row r="208" spans="1:7" ht="17" hidden="1" customHeight="1" x14ac:dyDescent="0.2">
      <c r="A208" t="s">
        <v>167</v>
      </c>
      <c r="B208" t="s">
        <v>80</v>
      </c>
      <c r="C208" t="s">
        <v>96</v>
      </c>
      <c r="D208" s="1" t="s">
        <v>194</v>
      </c>
      <c r="E208" t="s">
        <v>211</v>
      </c>
      <c r="F208">
        <v>18.989999999999998</v>
      </c>
      <c r="G208" s="2"/>
    </row>
    <row r="209" spans="1:7" ht="17" hidden="1" customHeight="1" x14ac:dyDescent="0.2">
      <c r="A209" t="s">
        <v>167</v>
      </c>
      <c r="B209" t="s">
        <v>80</v>
      </c>
      <c r="C209" t="s">
        <v>99</v>
      </c>
      <c r="D209" s="1" t="s">
        <v>195</v>
      </c>
      <c r="E209" t="s">
        <v>211</v>
      </c>
      <c r="F209">
        <v>17.832000000000001</v>
      </c>
      <c r="G209" s="2"/>
    </row>
    <row r="210" spans="1:7" ht="17" hidden="1" customHeight="1" x14ac:dyDescent="0.2">
      <c r="A210" t="s">
        <v>167</v>
      </c>
      <c r="B210" t="s">
        <v>80</v>
      </c>
      <c r="C210" t="s">
        <v>102</v>
      </c>
      <c r="D210" s="1" t="s">
        <v>196</v>
      </c>
      <c r="E210" t="s">
        <v>211</v>
      </c>
      <c r="F210">
        <v>17.100999999999999</v>
      </c>
      <c r="G210" s="2"/>
    </row>
    <row r="211" spans="1:7" ht="17" hidden="1" customHeight="1" x14ac:dyDescent="0.2">
      <c r="A211" t="s">
        <v>167</v>
      </c>
      <c r="B211" t="s">
        <v>105</v>
      </c>
      <c r="C211" t="s">
        <v>106</v>
      </c>
      <c r="D211" s="1" t="s">
        <v>197</v>
      </c>
      <c r="E211" t="s">
        <v>211</v>
      </c>
      <c r="F211">
        <v>12.843999999999999</v>
      </c>
      <c r="G211" s="2"/>
    </row>
    <row r="212" spans="1:7" ht="17" hidden="1" customHeight="1" x14ac:dyDescent="0.2">
      <c r="A212" t="s">
        <v>167</v>
      </c>
      <c r="B212" t="s">
        <v>105</v>
      </c>
      <c r="C212" t="s">
        <v>109</v>
      </c>
      <c r="D212" s="1" t="s">
        <v>198</v>
      </c>
      <c r="E212" t="s">
        <v>211</v>
      </c>
      <c r="F212">
        <v>12.981</v>
      </c>
      <c r="G212" s="2"/>
    </row>
    <row r="213" spans="1:7" ht="17" hidden="1" customHeight="1" x14ac:dyDescent="0.2">
      <c r="A213" t="s">
        <v>167</v>
      </c>
      <c r="B213" t="s">
        <v>105</v>
      </c>
      <c r="C213" t="s">
        <v>112</v>
      </c>
      <c r="D213" s="1" t="s">
        <v>199</v>
      </c>
      <c r="E213" t="s">
        <v>211</v>
      </c>
      <c r="F213">
        <v>18.776</v>
      </c>
      <c r="G213" s="2"/>
    </row>
    <row r="214" spans="1:7" ht="17" hidden="1" customHeight="1" x14ac:dyDescent="0.2">
      <c r="A214" t="s">
        <v>167</v>
      </c>
      <c r="B214" t="s">
        <v>105</v>
      </c>
      <c r="C214" t="s">
        <v>115</v>
      </c>
      <c r="D214" s="1" t="s">
        <v>200</v>
      </c>
      <c r="E214" t="s">
        <v>211</v>
      </c>
      <c r="F214">
        <v>20.331</v>
      </c>
      <c r="G214" s="2"/>
    </row>
    <row r="215" spans="1:7" ht="17" hidden="1" customHeight="1" x14ac:dyDescent="0.2">
      <c r="A215" t="s">
        <v>167</v>
      </c>
      <c r="B215" t="s">
        <v>105</v>
      </c>
      <c r="C215" t="s">
        <v>118</v>
      </c>
      <c r="D215" s="1" t="s">
        <v>201</v>
      </c>
      <c r="E215" t="s">
        <v>211</v>
      </c>
      <c r="F215">
        <v>17.768999999999998</v>
      </c>
      <c r="G215" s="2"/>
    </row>
    <row r="216" spans="1:7" ht="17" hidden="1" customHeight="1" x14ac:dyDescent="0.2">
      <c r="A216" t="s">
        <v>167</v>
      </c>
      <c r="B216" t="s">
        <v>121</v>
      </c>
      <c r="C216" t="s">
        <v>122</v>
      </c>
      <c r="D216" s="1" t="s">
        <v>202</v>
      </c>
      <c r="E216" t="s">
        <v>211</v>
      </c>
      <c r="F216">
        <v>23.716000000000001</v>
      </c>
      <c r="G216" s="2"/>
    </row>
    <row r="217" spans="1:7" ht="17" hidden="1" customHeight="1" x14ac:dyDescent="0.2">
      <c r="A217" t="s">
        <v>167</v>
      </c>
      <c r="B217" t="s">
        <v>121</v>
      </c>
      <c r="C217" t="s">
        <v>125</v>
      </c>
      <c r="D217" s="1" t="s">
        <v>203</v>
      </c>
      <c r="E217" t="s">
        <v>211</v>
      </c>
      <c r="F217">
        <v>19.715</v>
      </c>
      <c r="G217" s="2"/>
    </row>
    <row r="218" spans="1:7" ht="17" hidden="1" customHeight="1" x14ac:dyDescent="0.2">
      <c r="A218" t="s">
        <v>13</v>
      </c>
      <c r="B218" t="s">
        <v>14</v>
      </c>
      <c r="C218" t="s">
        <v>15</v>
      </c>
      <c r="D218" s="1" t="s">
        <v>17</v>
      </c>
      <c r="E218" t="s">
        <v>212</v>
      </c>
      <c r="F218">
        <v>15.288</v>
      </c>
      <c r="G218" s="2"/>
    </row>
    <row r="219" spans="1:7" ht="17" hidden="1" customHeight="1" x14ac:dyDescent="0.2">
      <c r="A219" t="s">
        <v>13</v>
      </c>
      <c r="B219" t="s">
        <v>14</v>
      </c>
      <c r="C219" t="s">
        <v>18</v>
      </c>
      <c r="D219" s="1" t="s">
        <v>20</v>
      </c>
      <c r="E219" t="s">
        <v>212</v>
      </c>
      <c r="F219">
        <v>13.914999999999999</v>
      </c>
      <c r="G219" s="2"/>
    </row>
    <row r="220" spans="1:7" ht="17" hidden="1" customHeight="1" x14ac:dyDescent="0.2">
      <c r="A220" t="s">
        <v>13</v>
      </c>
      <c r="B220" t="s">
        <v>14</v>
      </c>
      <c r="C220" t="s">
        <v>21</v>
      </c>
      <c r="D220" s="1" t="s">
        <v>23</v>
      </c>
      <c r="E220" t="s">
        <v>212</v>
      </c>
      <c r="F220">
        <v>13.916</v>
      </c>
      <c r="G220" s="2"/>
    </row>
    <row r="221" spans="1:7" ht="17" hidden="1" customHeight="1" x14ac:dyDescent="0.2">
      <c r="A221" t="s">
        <v>13</v>
      </c>
      <c r="B221" t="s">
        <v>14</v>
      </c>
      <c r="C221" t="s">
        <v>24</v>
      </c>
      <c r="D221" s="1" t="s">
        <v>26</v>
      </c>
      <c r="E221" t="s">
        <v>212</v>
      </c>
      <c r="F221">
        <v>13.74</v>
      </c>
      <c r="G221" s="2"/>
    </row>
    <row r="222" spans="1:7" ht="17" hidden="1" customHeight="1" x14ac:dyDescent="0.2">
      <c r="A222" t="s">
        <v>13</v>
      </c>
      <c r="B222" t="s">
        <v>14</v>
      </c>
      <c r="C222" t="s">
        <v>27</v>
      </c>
      <c r="D222" s="1" t="s">
        <v>29</v>
      </c>
      <c r="E222" t="s">
        <v>212</v>
      </c>
      <c r="F222">
        <v>15.436999999999999</v>
      </c>
      <c r="G222" s="2"/>
    </row>
    <row r="223" spans="1:7" ht="17" hidden="1" customHeight="1" x14ac:dyDescent="0.2">
      <c r="A223" t="s">
        <v>13</v>
      </c>
      <c r="B223" t="s">
        <v>14</v>
      </c>
      <c r="C223" t="s">
        <v>30</v>
      </c>
      <c r="D223" s="1" t="s">
        <v>32</v>
      </c>
      <c r="E223" t="s">
        <v>212</v>
      </c>
      <c r="F223">
        <v>11.561</v>
      </c>
      <c r="G223" s="2"/>
    </row>
    <row r="224" spans="1:7" ht="17" hidden="1" customHeight="1" x14ac:dyDescent="0.2">
      <c r="A224" t="s">
        <v>13</v>
      </c>
      <c r="B224" t="s">
        <v>33</v>
      </c>
      <c r="C224" t="s">
        <v>34</v>
      </c>
      <c r="D224" s="1" t="s">
        <v>36</v>
      </c>
      <c r="E224" t="s">
        <v>212</v>
      </c>
      <c r="F224">
        <v>12.523999999999999</v>
      </c>
      <c r="G224" s="2"/>
    </row>
    <row r="225" spans="1:7" ht="17" hidden="1" customHeight="1" x14ac:dyDescent="0.2">
      <c r="A225" t="s">
        <v>13</v>
      </c>
      <c r="B225" t="s">
        <v>33</v>
      </c>
      <c r="C225" t="s">
        <v>37</v>
      </c>
      <c r="D225" s="1" t="s">
        <v>39</v>
      </c>
      <c r="E225" t="s">
        <v>212</v>
      </c>
      <c r="F225">
        <v>12.414</v>
      </c>
      <c r="G225" s="2"/>
    </row>
    <row r="226" spans="1:7" ht="17" hidden="1" customHeight="1" x14ac:dyDescent="0.2">
      <c r="A226" t="s">
        <v>13</v>
      </c>
      <c r="B226" t="s">
        <v>33</v>
      </c>
      <c r="C226" t="s">
        <v>40</v>
      </c>
      <c r="D226" s="1" t="s">
        <v>42</v>
      </c>
      <c r="E226" t="s">
        <v>212</v>
      </c>
      <c r="F226">
        <v>12.949</v>
      </c>
      <c r="G226" s="2"/>
    </row>
    <row r="227" spans="1:7" ht="17" hidden="1" customHeight="1" x14ac:dyDescent="0.2">
      <c r="A227" t="s">
        <v>13</v>
      </c>
      <c r="B227" t="s">
        <v>33</v>
      </c>
      <c r="C227" t="s">
        <v>43</v>
      </c>
      <c r="D227" s="1" t="s">
        <v>45</v>
      </c>
      <c r="E227" t="s">
        <v>212</v>
      </c>
      <c r="F227">
        <v>12.589</v>
      </c>
      <c r="G227" s="2"/>
    </row>
    <row r="228" spans="1:7" ht="17" hidden="1" customHeight="1" x14ac:dyDescent="0.2">
      <c r="A228" t="s">
        <v>13</v>
      </c>
      <c r="B228" t="s">
        <v>33</v>
      </c>
      <c r="C228" t="s">
        <v>46</v>
      </c>
      <c r="D228" s="1" t="s">
        <v>48</v>
      </c>
      <c r="E228" t="s">
        <v>212</v>
      </c>
      <c r="F228">
        <v>14.077</v>
      </c>
      <c r="G228" s="2"/>
    </row>
    <row r="229" spans="1:7" ht="17" hidden="1" customHeight="1" x14ac:dyDescent="0.2">
      <c r="A229" t="s">
        <v>13</v>
      </c>
      <c r="B229" t="s">
        <v>33</v>
      </c>
      <c r="C229" t="s">
        <v>49</v>
      </c>
      <c r="D229" s="1" t="s">
        <v>51</v>
      </c>
      <c r="E229" t="s">
        <v>212</v>
      </c>
      <c r="F229">
        <v>12.465</v>
      </c>
      <c r="G229" s="2"/>
    </row>
    <row r="230" spans="1:7" ht="17" hidden="1" customHeight="1" x14ac:dyDescent="0.2">
      <c r="A230" t="s">
        <v>13</v>
      </c>
      <c r="B230" t="s">
        <v>33</v>
      </c>
      <c r="C230" t="s">
        <v>52</v>
      </c>
      <c r="D230" s="1" t="s">
        <v>54</v>
      </c>
      <c r="E230" t="s">
        <v>212</v>
      </c>
      <c r="F230">
        <v>13.311999999999999</v>
      </c>
      <c r="G230" s="2"/>
    </row>
    <row r="231" spans="1:7" ht="17" hidden="1" customHeight="1" x14ac:dyDescent="0.2">
      <c r="A231" t="s">
        <v>13</v>
      </c>
      <c r="B231" t="s">
        <v>33</v>
      </c>
      <c r="C231" t="s">
        <v>55</v>
      </c>
      <c r="D231" s="1" t="s">
        <v>57</v>
      </c>
      <c r="E231" t="s">
        <v>212</v>
      </c>
      <c r="F231">
        <v>12.077</v>
      </c>
      <c r="G231" s="2"/>
    </row>
    <row r="232" spans="1:7" ht="17" customHeight="1" x14ac:dyDescent="0.2">
      <c r="A232" t="s">
        <v>13</v>
      </c>
      <c r="B232" t="s">
        <v>33</v>
      </c>
      <c r="C232" t="s">
        <v>58</v>
      </c>
      <c r="D232" s="1" t="s">
        <v>60</v>
      </c>
      <c r="E232" t="s">
        <v>212</v>
      </c>
      <c r="F232">
        <v>12.423999999999999</v>
      </c>
      <c r="G232" s="2"/>
    </row>
    <row r="233" spans="1:7" ht="17" hidden="1" customHeight="1" x14ac:dyDescent="0.2">
      <c r="A233" t="s">
        <v>13</v>
      </c>
      <c r="B233" t="s">
        <v>33</v>
      </c>
      <c r="C233" t="s">
        <v>61</v>
      </c>
      <c r="D233" s="1" t="s">
        <v>63</v>
      </c>
      <c r="E233" t="s">
        <v>212</v>
      </c>
      <c r="F233">
        <v>10.851000000000001</v>
      </c>
      <c r="G233" s="2"/>
    </row>
    <row r="234" spans="1:7" ht="17" hidden="1" customHeight="1" x14ac:dyDescent="0.2">
      <c r="A234" t="s">
        <v>13</v>
      </c>
      <c r="B234" t="s">
        <v>64</v>
      </c>
      <c r="C234" t="s">
        <v>65</v>
      </c>
      <c r="D234" s="1" t="s">
        <v>67</v>
      </c>
      <c r="E234" t="s">
        <v>212</v>
      </c>
      <c r="F234">
        <v>10.815</v>
      </c>
      <c r="G234" s="2"/>
    </row>
    <row r="235" spans="1:7" ht="17" hidden="1" customHeight="1" x14ac:dyDescent="0.2">
      <c r="A235" t="s">
        <v>13</v>
      </c>
      <c r="B235" t="s">
        <v>64</v>
      </c>
      <c r="C235" t="s">
        <v>68</v>
      </c>
      <c r="D235" s="1" t="s">
        <v>70</v>
      </c>
      <c r="E235" t="s">
        <v>212</v>
      </c>
      <c r="F235">
        <v>11.632</v>
      </c>
      <c r="G235" s="2"/>
    </row>
    <row r="236" spans="1:7" ht="17" hidden="1" customHeight="1" x14ac:dyDescent="0.2">
      <c r="A236" t="s">
        <v>13</v>
      </c>
      <c r="B236" t="s">
        <v>64</v>
      </c>
      <c r="C236" t="s">
        <v>71</v>
      </c>
      <c r="D236" s="1" t="s">
        <v>73</v>
      </c>
      <c r="E236" t="s">
        <v>212</v>
      </c>
      <c r="F236">
        <v>9.4809999999999999</v>
      </c>
      <c r="G236" s="2"/>
    </row>
    <row r="237" spans="1:7" ht="17" hidden="1" customHeight="1" x14ac:dyDescent="0.2">
      <c r="A237" t="s">
        <v>13</v>
      </c>
      <c r="B237" t="s">
        <v>64</v>
      </c>
      <c r="C237" t="s">
        <v>74</v>
      </c>
      <c r="D237" s="1" t="s">
        <v>76</v>
      </c>
      <c r="E237" t="s">
        <v>212</v>
      </c>
      <c r="F237">
        <v>10.59</v>
      </c>
      <c r="G237" s="2"/>
    </row>
    <row r="238" spans="1:7" ht="17" hidden="1" customHeight="1" x14ac:dyDescent="0.2">
      <c r="A238" t="s">
        <v>13</v>
      </c>
      <c r="B238" t="s">
        <v>64</v>
      </c>
      <c r="C238" t="s">
        <v>77</v>
      </c>
      <c r="D238" s="1" t="s">
        <v>79</v>
      </c>
      <c r="E238" t="s">
        <v>212</v>
      </c>
      <c r="F238">
        <v>11.744</v>
      </c>
      <c r="G238" s="2"/>
    </row>
    <row r="239" spans="1:7" ht="17" hidden="1" customHeight="1" x14ac:dyDescent="0.2">
      <c r="A239" t="s">
        <v>13</v>
      </c>
      <c r="B239" t="s">
        <v>80</v>
      </c>
      <c r="C239" t="s">
        <v>81</v>
      </c>
      <c r="D239" s="1" t="s">
        <v>83</v>
      </c>
      <c r="E239" t="s">
        <v>212</v>
      </c>
      <c r="F239">
        <v>14.683999999999999</v>
      </c>
      <c r="G239" s="2"/>
    </row>
    <row r="240" spans="1:7" ht="17" hidden="1" customHeight="1" x14ac:dyDescent="0.2">
      <c r="A240" t="s">
        <v>13</v>
      </c>
      <c r="B240" t="s">
        <v>80</v>
      </c>
      <c r="C240" t="s">
        <v>84</v>
      </c>
      <c r="D240" s="1" t="s">
        <v>86</v>
      </c>
      <c r="E240" t="s">
        <v>212</v>
      </c>
      <c r="F240">
        <v>16.210999999999999</v>
      </c>
      <c r="G240" s="2"/>
    </row>
    <row r="241" spans="1:7" ht="17" hidden="1" customHeight="1" x14ac:dyDescent="0.2">
      <c r="A241" t="s">
        <v>13</v>
      </c>
      <c r="B241" t="s">
        <v>80</v>
      </c>
      <c r="C241" t="s">
        <v>87</v>
      </c>
      <c r="D241" s="1" t="s">
        <v>89</v>
      </c>
      <c r="E241" t="s">
        <v>212</v>
      </c>
      <c r="F241">
        <v>13.612</v>
      </c>
      <c r="G241" s="2"/>
    </row>
    <row r="242" spans="1:7" ht="17" hidden="1" customHeight="1" x14ac:dyDescent="0.2">
      <c r="A242" t="s">
        <v>13</v>
      </c>
      <c r="B242" t="s">
        <v>80</v>
      </c>
      <c r="C242" t="s">
        <v>90</v>
      </c>
      <c r="D242" s="1" t="s">
        <v>92</v>
      </c>
      <c r="E242" t="s">
        <v>212</v>
      </c>
      <c r="F242">
        <v>13.305</v>
      </c>
      <c r="G242" s="2"/>
    </row>
    <row r="243" spans="1:7" ht="17" hidden="1" customHeight="1" x14ac:dyDescent="0.2">
      <c r="A243" t="s">
        <v>13</v>
      </c>
      <c r="B243" t="s">
        <v>80</v>
      </c>
      <c r="C243" t="s">
        <v>93</v>
      </c>
      <c r="D243" s="1" t="s">
        <v>95</v>
      </c>
      <c r="E243" t="s">
        <v>212</v>
      </c>
      <c r="F243">
        <v>12.045999999999999</v>
      </c>
      <c r="G243" s="2"/>
    </row>
    <row r="244" spans="1:7" ht="17" hidden="1" customHeight="1" x14ac:dyDescent="0.2">
      <c r="A244" t="s">
        <v>13</v>
      </c>
      <c r="B244" t="s">
        <v>80</v>
      </c>
      <c r="C244" t="s">
        <v>96</v>
      </c>
      <c r="D244" s="1" t="s">
        <v>98</v>
      </c>
      <c r="E244" t="s">
        <v>212</v>
      </c>
      <c r="F244">
        <v>11.789</v>
      </c>
      <c r="G244" s="2"/>
    </row>
    <row r="245" spans="1:7" ht="17" hidden="1" customHeight="1" x14ac:dyDescent="0.2">
      <c r="A245" t="s">
        <v>13</v>
      </c>
      <c r="B245" t="s">
        <v>80</v>
      </c>
      <c r="C245" t="s">
        <v>99</v>
      </c>
      <c r="D245" s="1" t="s">
        <v>101</v>
      </c>
      <c r="E245" t="s">
        <v>212</v>
      </c>
      <c r="F245">
        <v>14.907</v>
      </c>
      <c r="G245" s="2"/>
    </row>
    <row r="246" spans="1:7" ht="17" hidden="1" customHeight="1" x14ac:dyDescent="0.2">
      <c r="A246" t="s">
        <v>13</v>
      </c>
      <c r="B246" t="s">
        <v>80</v>
      </c>
      <c r="C246" t="s">
        <v>102</v>
      </c>
      <c r="D246" s="1" t="s">
        <v>104</v>
      </c>
      <c r="E246" t="s">
        <v>212</v>
      </c>
      <c r="F246">
        <v>12.622999999999999</v>
      </c>
      <c r="G246" s="2"/>
    </row>
    <row r="247" spans="1:7" ht="17" hidden="1" customHeight="1" x14ac:dyDescent="0.2">
      <c r="A247" t="s">
        <v>13</v>
      </c>
      <c r="B247" t="s">
        <v>105</v>
      </c>
      <c r="C247" t="s">
        <v>106</v>
      </c>
      <c r="D247" s="1" t="s">
        <v>108</v>
      </c>
      <c r="E247" t="s">
        <v>212</v>
      </c>
      <c r="F247">
        <v>11.824</v>
      </c>
      <c r="G247" s="2"/>
    </row>
    <row r="248" spans="1:7" ht="17" hidden="1" customHeight="1" x14ac:dyDescent="0.2">
      <c r="A248" t="s">
        <v>13</v>
      </c>
      <c r="B248" t="s">
        <v>105</v>
      </c>
      <c r="C248" t="s">
        <v>109</v>
      </c>
      <c r="D248" s="1" t="s">
        <v>111</v>
      </c>
      <c r="E248" t="s">
        <v>212</v>
      </c>
      <c r="F248">
        <v>10.449</v>
      </c>
      <c r="G248" s="2"/>
    </row>
    <row r="249" spans="1:7" ht="17" hidden="1" customHeight="1" x14ac:dyDescent="0.2">
      <c r="A249" t="s">
        <v>13</v>
      </c>
      <c r="B249" t="s">
        <v>105</v>
      </c>
      <c r="C249" t="s">
        <v>112</v>
      </c>
      <c r="D249" s="1" t="s">
        <v>114</v>
      </c>
      <c r="E249" t="s">
        <v>212</v>
      </c>
      <c r="F249">
        <v>13.510999999999999</v>
      </c>
      <c r="G249" s="2"/>
    </row>
    <row r="250" spans="1:7" ht="17" hidden="1" customHeight="1" x14ac:dyDescent="0.2">
      <c r="A250" t="s">
        <v>13</v>
      </c>
      <c r="B250" t="s">
        <v>105</v>
      </c>
      <c r="C250" t="s">
        <v>115</v>
      </c>
      <c r="D250" s="1" t="s">
        <v>117</v>
      </c>
      <c r="E250" t="s">
        <v>212</v>
      </c>
      <c r="F250">
        <v>13.72</v>
      </c>
      <c r="G250" s="2"/>
    </row>
    <row r="251" spans="1:7" ht="17" hidden="1" customHeight="1" x14ac:dyDescent="0.2">
      <c r="A251" t="s">
        <v>13</v>
      </c>
      <c r="B251" t="s">
        <v>105</v>
      </c>
      <c r="C251" t="s">
        <v>118</v>
      </c>
      <c r="D251" s="1" t="s">
        <v>120</v>
      </c>
      <c r="E251" t="s">
        <v>212</v>
      </c>
      <c r="F251">
        <v>15.055999999999999</v>
      </c>
      <c r="G251" s="2"/>
    </row>
    <row r="252" spans="1:7" ht="17" hidden="1" customHeight="1" x14ac:dyDescent="0.2">
      <c r="A252" t="s">
        <v>13</v>
      </c>
      <c r="B252" t="s">
        <v>121</v>
      </c>
      <c r="C252" t="s">
        <v>122</v>
      </c>
      <c r="D252" s="1" t="s">
        <v>124</v>
      </c>
      <c r="E252" t="s">
        <v>212</v>
      </c>
      <c r="F252">
        <v>12.204000000000001</v>
      </c>
      <c r="G252" s="2"/>
    </row>
    <row r="253" spans="1:7" ht="17" hidden="1" customHeight="1" x14ac:dyDescent="0.2">
      <c r="A253" t="s">
        <v>13</v>
      </c>
      <c r="B253" t="s">
        <v>121</v>
      </c>
      <c r="C253" t="s">
        <v>125</v>
      </c>
      <c r="D253" s="1" t="s">
        <v>127</v>
      </c>
      <c r="E253" t="s">
        <v>212</v>
      </c>
      <c r="F253">
        <v>12.417999999999999</v>
      </c>
      <c r="G253" s="2"/>
    </row>
    <row r="254" spans="1:7" ht="17" hidden="1" customHeight="1" x14ac:dyDescent="0.2">
      <c r="A254" t="s">
        <v>129</v>
      </c>
      <c r="B254" t="s">
        <v>14</v>
      </c>
      <c r="C254" t="s">
        <v>15</v>
      </c>
      <c r="D254" s="1" t="s">
        <v>130</v>
      </c>
      <c r="E254" t="s">
        <v>212</v>
      </c>
      <c r="F254">
        <v>13.004</v>
      </c>
      <c r="G254" s="2"/>
    </row>
    <row r="255" spans="1:7" ht="17" hidden="1" customHeight="1" x14ac:dyDescent="0.2">
      <c r="A255" t="s">
        <v>129</v>
      </c>
      <c r="B255" t="s">
        <v>14</v>
      </c>
      <c r="C255" t="s">
        <v>18</v>
      </c>
      <c r="D255" s="1" t="s">
        <v>131</v>
      </c>
      <c r="E255" t="s">
        <v>212</v>
      </c>
      <c r="F255">
        <v>13.016</v>
      </c>
      <c r="G255" s="2"/>
    </row>
    <row r="256" spans="1:7" ht="17" hidden="1" customHeight="1" x14ac:dyDescent="0.2">
      <c r="A256" t="s">
        <v>129</v>
      </c>
      <c r="B256" t="s">
        <v>14</v>
      </c>
      <c r="C256" t="s">
        <v>21</v>
      </c>
      <c r="D256" s="1" t="s">
        <v>132</v>
      </c>
      <c r="E256" t="s">
        <v>212</v>
      </c>
      <c r="F256">
        <v>13.311999999999999</v>
      </c>
      <c r="G256" s="2"/>
    </row>
    <row r="257" spans="1:7" ht="17" hidden="1" customHeight="1" x14ac:dyDescent="0.2">
      <c r="A257" t="s">
        <v>129</v>
      </c>
      <c r="B257" t="s">
        <v>14</v>
      </c>
      <c r="C257" t="s">
        <v>24</v>
      </c>
      <c r="D257" s="1" t="s">
        <v>133</v>
      </c>
      <c r="E257" t="s">
        <v>212</v>
      </c>
      <c r="F257">
        <v>12.991</v>
      </c>
      <c r="G257" s="2"/>
    </row>
    <row r="258" spans="1:7" ht="17" hidden="1" customHeight="1" x14ac:dyDescent="0.2">
      <c r="A258" t="s">
        <v>129</v>
      </c>
      <c r="B258" t="s">
        <v>14</v>
      </c>
      <c r="C258" t="s">
        <v>27</v>
      </c>
      <c r="D258" s="1" t="s">
        <v>134</v>
      </c>
      <c r="E258" t="s">
        <v>212</v>
      </c>
      <c r="F258">
        <v>13.153</v>
      </c>
      <c r="G258" s="2"/>
    </row>
    <row r="259" spans="1:7" ht="17" hidden="1" customHeight="1" x14ac:dyDescent="0.2">
      <c r="A259" t="s">
        <v>129</v>
      </c>
      <c r="B259" t="s">
        <v>14</v>
      </c>
      <c r="C259" t="s">
        <v>30</v>
      </c>
      <c r="D259" s="1" t="s">
        <v>135</v>
      </c>
      <c r="E259" t="s">
        <v>212</v>
      </c>
      <c r="F259">
        <v>13.72</v>
      </c>
      <c r="G259" s="2"/>
    </row>
    <row r="260" spans="1:7" ht="17" hidden="1" customHeight="1" x14ac:dyDescent="0.2">
      <c r="A260" t="s">
        <v>129</v>
      </c>
      <c r="B260" t="s">
        <v>33</v>
      </c>
      <c r="C260" t="s">
        <v>34</v>
      </c>
      <c r="D260" s="1" t="s">
        <v>136</v>
      </c>
      <c r="E260" t="s">
        <v>212</v>
      </c>
      <c r="F260">
        <v>14.593999999999999</v>
      </c>
      <c r="G260" s="2"/>
    </row>
    <row r="261" spans="1:7" ht="17" hidden="1" customHeight="1" x14ac:dyDescent="0.2">
      <c r="A261" t="s">
        <v>129</v>
      </c>
      <c r="B261" t="s">
        <v>33</v>
      </c>
      <c r="C261" t="s">
        <v>37</v>
      </c>
      <c r="D261" s="1" t="s">
        <v>137</v>
      </c>
      <c r="E261" t="s">
        <v>212</v>
      </c>
      <c r="F261">
        <v>11.871</v>
      </c>
      <c r="G261" s="2"/>
    </row>
    <row r="262" spans="1:7" ht="17" hidden="1" customHeight="1" x14ac:dyDescent="0.2">
      <c r="A262" t="s">
        <v>129</v>
      </c>
      <c r="B262" t="s">
        <v>33</v>
      </c>
      <c r="C262" t="s">
        <v>40</v>
      </c>
      <c r="D262" s="1" t="s">
        <v>138</v>
      </c>
      <c r="E262" t="s">
        <v>212</v>
      </c>
      <c r="F262">
        <v>13.176</v>
      </c>
      <c r="G262" s="2"/>
    </row>
    <row r="263" spans="1:7" ht="17" hidden="1" customHeight="1" x14ac:dyDescent="0.2">
      <c r="A263" t="s">
        <v>129</v>
      </c>
      <c r="B263" t="s">
        <v>33</v>
      </c>
      <c r="C263" t="s">
        <v>43</v>
      </c>
      <c r="D263" s="1" t="s">
        <v>139</v>
      </c>
      <c r="E263" t="s">
        <v>212</v>
      </c>
      <c r="F263">
        <v>15.074999999999999</v>
      </c>
      <c r="G263" s="2"/>
    </row>
    <row r="264" spans="1:7" ht="17" hidden="1" customHeight="1" x14ac:dyDescent="0.2">
      <c r="A264" t="s">
        <v>129</v>
      </c>
      <c r="B264" t="s">
        <v>33</v>
      </c>
      <c r="C264" t="s">
        <v>46</v>
      </c>
      <c r="D264" s="1" t="s">
        <v>140</v>
      </c>
      <c r="E264" t="s">
        <v>212</v>
      </c>
      <c r="F264">
        <v>11.612</v>
      </c>
      <c r="G264" s="2"/>
    </row>
    <row r="265" spans="1:7" ht="17" hidden="1" customHeight="1" x14ac:dyDescent="0.2">
      <c r="A265" t="s">
        <v>129</v>
      </c>
      <c r="B265" t="s">
        <v>33</v>
      </c>
      <c r="C265" t="s">
        <v>49</v>
      </c>
      <c r="D265" s="1" t="s">
        <v>141</v>
      </c>
      <c r="E265" t="s">
        <v>212</v>
      </c>
      <c r="F265">
        <v>11.769</v>
      </c>
      <c r="G265" s="2"/>
    </row>
    <row r="266" spans="1:7" ht="17" hidden="1" customHeight="1" x14ac:dyDescent="0.2">
      <c r="A266" t="s">
        <v>129</v>
      </c>
      <c r="B266" t="s">
        <v>33</v>
      </c>
      <c r="C266" t="s">
        <v>52</v>
      </c>
      <c r="D266" s="1" t="s">
        <v>142</v>
      </c>
      <c r="E266" t="s">
        <v>212</v>
      </c>
      <c r="F266">
        <v>14.917999999999999</v>
      </c>
      <c r="G266" s="2"/>
    </row>
    <row r="267" spans="1:7" ht="17" hidden="1" customHeight="1" x14ac:dyDescent="0.2">
      <c r="A267" t="s">
        <v>129</v>
      </c>
      <c r="B267" t="s">
        <v>33</v>
      </c>
      <c r="C267" t="s">
        <v>55</v>
      </c>
      <c r="D267" s="1" t="s">
        <v>143</v>
      </c>
      <c r="E267" t="s">
        <v>212</v>
      </c>
      <c r="F267">
        <v>12.064</v>
      </c>
      <c r="G267" s="2"/>
    </row>
    <row r="268" spans="1:7" ht="17" hidden="1" customHeight="1" x14ac:dyDescent="0.2">
      <c r="A268" t="s">
        <v>129</v>
      </c>
      <c r="B268" t="s">
        <v>33</v>
      </c>
      <c r="C268" t="s">
        <v>58</v>
      </c>
      <c r="D268" s="1" t="s">
        <v>144</v>
      </c>
      <c r="E268" t="s">
        <v>212</v>
      </c>
      <c r="F268">
        <v>12.641</v>
      </c>
      <c r="G268" s="2"/>
    </row>
    <row r="269" spans="1:7" ht="17" hidden="1" customHeight="1" x14ac:dyDescent="0.2">
      <c r="A269" t="s">
        <v>129</v>
      </c>
      <c r="B269" t="s">
        <v>33</v>
      </c>
      <c r="C269" t="s">
        <v>61</v>
      </c>
      <c r="D269" s="1" t="s">
        <v>145</v>
      </c>
      <c r="E269" t="s">
        <v>212</v>
      </c>
      <c r="F269">
        <v>12.622</v>
      </c>
      <c r="G269" s="2"/>
    </row>
    <row r="270" spans="1:7" ht="17" hidden="1" customHeight="1" x14ac:dyDescent="0.2">
      <c r="A270" t="s">
        <v>129</v>
      </c>
      <c r="B270" t="s">
        <v>64</v>
      </c>
      <c r="C270" t="s">
        <v>65</v>
      </c>
      <c r="D270" s="1" t="s">
        <v>146</v>
      </c>
      <c r="E270" t="s">
        <v>212</v>
      </c>
      <c r="F270">
        <v>11.430999999999999</v>
      </c>
      <c r="G270" s="2"/>
    </row>
    <row r="271" spans="1:7" ht="17" hidden="1" customHeight="1" x14ac:dyDescent="0.2">
      <c r="A271" t="s">
        <v>129</v>
      </c>
      <c r="B271" t="s">
        <v>64</v>
      </c>
      <c r="C271" t="s">
        <v>68</v>
      </c>
      <c r="D271" s="1" t="s">
        <v>147</v>
      </c>
      <c r="E271" t="s">
        <v>212</v>
      </c>
      <c r="F271">
        <v>12.324999999999999</v>
      </c>
      <c r="G271" s="2"/>
    </row>
    <row r="272" spans="1:7" ht="17" hidden="1" customHeight="1" x14ac:dyDescent="0.2">
      <c r="A272" t="s">
        <v>129</v>
      </c>
      <c r="B272" t="s">
        <v>64</v>
      </c>
      <c r="C272" t="s">
        <v>71</v>
      </c>
      <c r="D272" s="1" t="s">
        <v>148</v>
      </c>
      <c r="E272" t="s">
        <v>212</v>
      </c>
      <c r="F272">
        <v>12.297000000000001</v>
      </c>
      <c r="G272" s="2"/>
    </row>
    <row r="273" spans="1:7" ht="17" hidden="1" customHeight="1" x14ac:dyDescent="0.2">
      <c r="A273" t="s">
        <v>129</v>
      </c>
      <c r="B273" t="s">
        <v>64</v>
      </c>
      <c r="C273" t="s">
        <v>74</v>
      </c>
      <c r="D273" s="1" t="s">
        <v>149</v>
      </c>
      <c r="E273" t="s">
        <v>212</v>
      </c>
      <c r="F273">
        <v>12.474</v>
      </c>
      <c r="G273" s="2"/>
    </row>
    <row r="274" spans="1:7" ht="17" hidden="1" customHeight="1" x14ac:dyDescent="0.2">
      <c r="A274" t="s">
        <v>129</v>
      </c>
      <c r="B274" t="s">
        <v>64</v>
      </c>
      <c r="C274" t="s">
        <v>77</v>
      </c>
      <c r="D274" s="1" t="s">
        <v>150</v>
      </c>
      <c r="E274" t="s">
        <v>212</v>
      </c>
      <c r="F274">
        <v>11.02</v>
      </c>
      <c r="G274" s="2"/>
    </row>
    <row r="275" spans="1:7" ht="17" hidden="1" customHeight="1" x14ac:dyDescent="0.2">
      <c r="A275" t="s">
        <v>129</v>
      </c>
      <c r="B275" t="s">
        <v>80</v>
      </c>
      <c r="C275" t="s">
        <v>81</v>
      </c>
      <c r="D275" s="1" t="s">
        <v>151</v>
      </c>
      <c r="E275" t="s">
        <v>212</v>
      </c>
      <c r="F275">
        <v>14.077999999999999</v>
      </c>
      <c r="G275" s="2"/>
    </row>
    <row r="276" spans="1:7" ht="17" hidden="1" customHeight="1" x14ac:dyDescent="0.2">
      <c r="A276" t="s">
        <v>129</v>
      </c>
      <c r="B276" t="s">
        <v>80</v>
      </c>
      <c r="C276" t="s">
        <v>84</v>
      </c>
      <c r="D276" s="1" t="s">
        <v>152</v>
      </c>
      <c r="E276" t="s">
        <v>212</v>
      </c>
      <c r="F276">
        <v>14.061999999999999</v>
      </c>
      <c r="G276" s="2"/>
    </row>
    <row r="277" spans="1:7" ht="17" hidden="1" customHeight="1" x14ac:dyDescent="0.2">
      <c r="A277" t="s">
        <v>129</v>
      </c>
      <c r="B277" t="s">
        <v>80</v>
      </c>
      <c r="C277" t="s">
        <v>87</v>
      </c>
      <c r="D277" s="1" t="s">
        <v>153</v>
      </c>
      <c r="E277" t="s">
        <v>212</v>
      </c>
      <c r="F277">
        <v>13.456</v>
      </c>
      <c r="G277" s="2"/>
    </row>
    <row r="278" spans="1:7" ht="17" hidden="1" customHeight="1" x14ac:dyDescent="0.2">
      <c r="A278" t="s">
        <v>129</v>
      </c>
      <c r="B278" t="s">
        <v>80</v>
      </c>
      <c r="C278" t="s">
        <v>90</v>
      </c>
      <c r="D278" s="1" t="s">
        <v>154</v>
      </c>
      <c r="E278" t="s">
        <v>212</v>
      </c>
      <c r="F278">
        <v>12.737</v>
      </c>
      <c r="G278" s="2"/>
    </row>
    <row r="279" spans="1:7" ht="17" hidden="1" customHeight="1" x14ac:dyDescent="0.2">
      <c r="A279" t="s">
        <v>129</v>
      </c>
      <c r="B279" t="s">
        <v>80</v>
      </c>
      <c r="C279" t="s">
        <v>93</v>
      </c>
      <c r="D279" s="1" t="s">
        <v>155</v>
      </c>
      <c r="E279" t="s">
        <v>212</v>
      </c>
      <c r="F279">
        <v>12.49</v>
      </c>
      <c r="G279" s="2"/>
    </row>
    <row r="280" spans="1:7" ht="17" hidden="1" customHeight="1" x14ac:dyDescent="0.2">
      <c r="A280" t="s">
        <v>129</v>
      </c>
      <c r="B280" t="s">
        <v>80</v>
      </c>
      <c r="C280" t="s">
        <v>96</v>
      </c>
      <c r="D280" s="1" t="s">
        <v>156</v>
      </c>
      <c r="E280" t="s">
        <v>212</v>
      </c>
      <c r="F280">
        <v>12.877000000000001</v>
      </c>
      <c r="G280" s="2"/>
    </row>
    <row r="281" spans="1:7" ht="17" hidden="1" customHeight="1" x14ac:dyDescent="0.2">
      <c r="A281" t="s">
        <v>129</v>
      </c>
      <c r="B281" t="s">
        <v>80</v>
      </c>
      <c r="C281" t="s">
        <v>99</v>
      </c>
      <c r="D281" s="1" t="s">
        <v>157</v>
      </c>
      <c r="E281" t="s">
        <v>212</v>
      </c>
      <c r="F281">
        <v>12.888999999999999</v>
      </c>
      <c r="G281" s="2"/>
    </row>
    <row r="282" spans="1:7" ht="17" hidden="1" customHeight="1" x14ac:dyDescent="0.2">
      <c r="A282" t="s">
        <v>129</v>
      </c>
      <c r="B282" t="s">
        <v>80</v>
      </c>
      <c r="C282" t="s">
        <v>102</v>
      </c>
      <c r="D282" s="1" t="s">
        <v>158</v>
      </c>
      <c r="E282" t="s">
        <v>212</v>
      </c>
      <c r="F282">
        <v>15.612</v>
      </c>
      <c r="G282" s="2"/>
    </row>
    <row r="283" spans="1:7" ht="17" hidden="1" customHeight="1" x14ac:dyDescent="0.2">
      <c r="A283" t="s">
        <v>129</v>
      </c>
      <c r="B283" t="s">
        <v>105</v>
      </c>
      <c r="C283" t="s">
        <v>106</v>
      </c>
      <c r="D283" s="1" t="s">
        <v>159</v>
      </c>
      <c r="E283" t="s">
        <v>212</v>
      </c>
      <c r="F283">
        <v>12.1</v>
      </c>
      <c r="G283" s="2"/>
    </row>
    <row r="284" spans="1:7" ht="17" hidden="1" customHeight="1" x14ac:dyDescent="0.2">
      <c r="A284" t="s">
        <v>129</v>
      </c>
      <c r="B284" t="s">
        <v>105</v>
      </c>
      <c r="C284" t="s">
        <v>109</v>
      </c>
      <c r="D284" s="1" t="s">
        <v>160</v>
      </c>
      <c r="E284" t="s">
        <v>212</v>
      </c>
      <c r="F284">
        <v>12.573</v>
      </c>
      <c r="G284" s="2"/>
    </row>
    <row r="285" spans="1:7" ht="17" hidden="1" customHeight="1" x14ac:dyDescent="0.2">
      <c r="A285" t="s">
        <v>129</v>
      </c>
      <c r="B285" t="s">
        <v>105</v>
      </c>
      <c r="C285" t="s">
        <v>112</v>
      </c>
      <c r="D285" s="1" t="s">
        <v>161</v>
      </c>
      <c r="E285" t="s">
        <v>212</v>
      </c>
      <c r="F285">
        <v>13.33</v>
      </c>
      <c r="G285" s="2"/>
    </row>
    <row r="286" spans="1:7" ht="17" hidden="1" customHeight="1" x14ac:dyDescent="0.2">
      <c r="A286" t="s">
        <v>129</v>
      </c>
      <c r="B286" t="s">
        <v>105</v>
      </c>
      <c r="C286" t="s">
        <v>115</v>
      </c>
      <c r="D286" s="1" t="s">
        <v>162</v>
      </c>
      <c r="E286" t="s">
        <v>212</v>
      </c>
      <c r="F286">
        <v>13.612</v>
      </c>
      <c r="G286" s="2"/>
    </row>
    <row r="287" spans="1:7" ht="17" hidden="1" customHeight="1" x14ac:dyDescent="0.2">
      <c r="A287" t="s">
        <v>129</v>
      </c>
      <c r="B287" t="s">
        <v>105</v>
      </c>
      <c r="C287" t="s">
        <v>118</v>
      </c>
      <c r="D287" s="1" t="s">
        <v>163</v>
      </c>
      <c r="E287" t="s">
        <v>212</v>
      </c>
      <c r="F287">
        <v>13.978</v>
      </c>
      <c r="G287" s="2"/>
    </row>
    <row r="288" spans="1:7" ht="17" hidden="1" customHeight="1" x14ac:dyDescent="0.2">
      <c r="A288" t="s">
        <v>129</v>
      </c>
      <c r="B288" t="s">
        <v>121</v>
      </c>
      <c r="C288" t="s">
        <v>122</v>
      </c>
      <c r="D288" s="1" t="s">
        <v>164</v>
      </c>
      <c r="E288" t="s">
        <v>212</v>
      </c>
      <c r="F288">
        <v>14.343</v>
      </c>
      <c r="G288" s="2"/>
    </row>
    <row r="289" spans="1:7" ht="17" hidden="1" customHeight="1" x14ac:dyDescent="0.2">
      <c r="A289" t="s">
        <v>129</v>
      </c>
      <c r="B289" t="s">
        <v>121</v>
      </c>
      <c r="C289" t="s">
        <v>125</v>
      </c>
      <c r="D289" s="1" t="s">
        <v>165</v>
      </c>
      <c r="E289" t="s">
        <v>212</v>
      </c>
      <c r="F289">
        <v>12.73</v>
      </c>
      <c r="G289" s="2"/>
    </row>
    <row r="290" spans="1:7" ht="17" hidden="1" customHeight="1" x14ac:dyDescent="0.2">
      <c r="A290" t="s">
        <v>167</v>
      </c>
      <c r="B290" t="s">
        <v>14</v>
      </c>
      <c r="C290" t="s">
        <v>15</v>
      </c>
      <c r="D290" s="1" t="s">
        <v>168</v>
      </c>
      <c r="E290" t="s">
        <v>212</v>
      </c>
      <c r="F290">
        <v>14.617000000000001</v>
      </c>
      <c r="G290" s="2"/>
    </row>
    <row r="291" spans="1:7" ht="17" hidden="1" customHeight="1" x14ac:dyDescent="0.2">
      <c r="A291" t="s">
        <v>167</v>
      </c>
      <c r="B291" t="s">
        <v>14</v>
      </c>
      <c r="C291" t="s">
        <v>18</v>
      </c>
      <c r="D291" s="1" t="s">
        <v>169</v>
      </c>
      <c r="E291" t="s">
        <v>212</v>
      </c>
      <c r="F291">
        <v>13.587</v>
      </c>
      <c r="G291" s="2"/>
    </row>
    <row r="292" spans="1:7" ht="17" hidden="1" customHeight="1" x14ac:dyDescent="0.2">
      <c r="A292" t="s">
        <v>167</v>
      </c>
      <c r="B292" t="s">
        <v>14</v>
      </c>
      <c r="C292" t="s">
        <v>21</v>
      </c>
      <c r="D292" s="1" t="s">
        <v>170</v>
      </c>
      <c r="E292" t="s">
        <v>212</v>
      </c>
      <c r="F292">
        <v>13.423</v>
      </c>
      <c r="G292" s="2"/>
    </row>
    <row r="293" spans="1:7" ht="17" hidden="1" customHeight="1" x14ac:dyDescent="0.2">
      <c r="A293" t="s">
        <v>167</v>
      </c>
      <c r="B293" t="s">
        <v>14</v>
      </c>
      <c r="C293" t="s">
        <v>24</v>
      </c>
      <c r="D293" s="1" t="s">
        <v>171</v>
      </c>
      <c r="E293" t="s">
        <v>212</v>
      </c>
      <c r="F293">
        <v>13.076000000000001</v>
      </c>
      <c r="G293" s="2"/>
    </row>
    <row r="294" spans="1:7" ht="17" hidden="1" customHeight="1" x14ac:dyDescent="0.2">
      <c r="A294" t="s">
        <v>167</v>
      </c>
      <c r="B294" t="s">
        <v>14</v>
      </c>
      <c r="C294" t="s">
        <v>27</v>
      </c>
      <c r="D294" s="1" t="s">
        <v>172</v>
      </c>
      <c r="E294" t="s">
        <v>212</v>
      </c>
      <c r="F294">
        <v>14.462</v>
      </c>
      <c r="G294" s="2"/>
    </row>
    <row r="295" spans="1:7" ht="17" hidden="1" customHeight="1" x14ac:dyDescent="0.2">
      <c r="A295" t="s">
        <v>167</v>
      </c>
      <c r="B295" t="s">
        <v>14</v>
      </c>
      <c r="C295" t="s">
        <v>30</v>
      </c>
      <c r="D295" s="1" t="s">
        <v>173</v>
      </c>
      <c r="E295" t="s">
        <v>212</v>
      </c>
      <c r="F295">
        <v>14.11</v>
      </c>
      <c r="G295" s="2"/>
    </row>
    <row r="296" spans="1:7" ht="17" hidden="1" customHeight="1" x14ac:dyDescent="0.2">
      <c r="A296" t="s">
        <v>167</v>
      </c>
      <c r="B296" t="s">
        <v>33</v>
      </c>
      <c r="C296" t="s">
        <v>34</v>
      </c>
      <c r="D296" s="1" t="s">
        <v>174</v>
      </c>
      <c r="E296" t="s">
        <v>212</v>
      </c>
      <c r="F296">
        <v>12.297000000000001</v>
      </c>
      <c r="G296" s="2"/>
    </row>
    <row r="297" spans="1:7" ht="17" hidden="1" customHeight="1" x14ac:dyDescent="0.2">
      <c r="A297" t="s">
        <v>167</v>
      </c>
      <c r="B297" t="s">
        <v>33</v>
      </c>
      <c r="C297" t="s">
        <v>37</v>
      </c>
      <c r="D297" s="1" t="s">
        <v>175</v>
      </c>
      <c r="E297" t="s">
        <v>212</v>
      </c>
      <c r="F297">
        <v>12.012</v>
      </c>
      <c r="G297" s="2"/>
    </row>
    <row r="298" spans="1:7" ht="17" hidden="1" customHeight="1" x14ac:dyDescent="0.2">
      <c r="A298" t="s">
        <v>167</v>
      </c>
      <c r="B298" t="s">
        <v>33</v>
      </c>
      <c r="C298" t="s">
        <v>40</v>
      </c>
      <c r="D298" s="1" t="s">
        <v>176</v>
      </c>
      <c r="E298" t="s">
        <v>212</v>
      </c>
      <c r="F298">
        <v>13.51</v>
      </c>
      <c r="G298" s="2"/>
    </row>
    <row r="299" spans="1:7" ht="17" hidden="1" customHeight="1" x14ac:dyDescent="0.2">
      <c r="A299" t="s">
        <v>167</v>
      </c>
      <c r="B299" t="s">
        <v>33</v>
      </c>
      <c r="C299" t="s">
        <v>43</v>
      </c>
      <c r="D299" s="1" t="s">
        <v>177</v>
      </c>
      <c r="E299" t="s">
        <v>212</v>
      </c>
      <c r="F299">
        <v>14.250999999999999</v>
      </c>
      <c r="G299" s="2"/>
    </row>
    <row r="300" spans="1:7" ht="17" hidden="1" customHeight="1" x14ac:dyDescent="0.2">
      <c r="A300" t="s">
        <v>167</v>
      </c>
      <c r="B300" t="s">
        <v>33</v>
      </c>
      <c r="C300" t="s">
        <v>46</v>
      </c>
      <c r="D300" s="1" t="s">
        <v>178</v>
      </c>
      <c r="E300" t="s">
        <v>212</v>
      </c>
      <c r="F300">
        <v>13.03</v>
      </c>
      <c r="G300" s="2"/>
    </row>
    <row r="301" spans="1:7" ht="17" hidden="1" customHeight="1" x14ac:dyDescent="0.2">
      <c r="A301" t="s">
        <v>167</v>
      </c>
      <c r="B301" t="s">
        <v>33</v>
      </c>
      <c r="C301" t="s">
        <v>49</v>
      </c>
      <c r="D301" s="1" t="s">
        <v>179</v>
      </c>
      <c r="E301" t="s">
        <v>212</v>
      </c>
      <c r="F301">
        <v>12.858000000000001</v>
      </c>
      <c r="G301" s="2"/>
    </row>
    <row r="302" spans="1:7" ht="17" hidden="1" customHeight="1" x14ac:dyDescent="0.2">
      <c r="A302" t="s">
        <v>167</v>
      </c>
      <c r="B302" t="s">
        <v>33</v>
      </c>
      <c r="C302" t="s">
        <v>52</v>
      </c>
      <c r="D302" s="1" t="s">
        <v>180</v>
      </c>
      <c r="E302" t="s">
        <v>212</v>
      </c>
      <c r="F302">
        <v>14.185</v>
      </c>
      <c r="G302" s="2"/>
    </row>
    <row r="303" spans="1:7" ht="17" hidden="1" customHeight="1" x14ac:dyDescent="0.2">
      <c r="A303" t="s">
        <v>167</v>
      </c>
      <c r="B303" t="s">
        <v>33</v>
      </c>
      <c r="C303" t="s">
        <v>55</v>
      </c>
      <c r="D303" s="1" t="s">
        <v>181</v>
      </c>
      <c r="E303" t="s">
        <v>212</v>
      </c>
      <c r="F303">
        <v>12.59</v>
      </c>
      <c r="G303" s="2"/>
    </row>
    <row r="304" spans="1:7" ht="17" hidden="1" customHeight="1" x14ac:dyDescent="0.2">
      <c r="A304" t="s">
        <v>167</v>
      </c>
      <c r="B304" t="s">
        <v>33</v>
      </c>
      <c r="C304" t="s">
        <v>58</v>
      </c>
      <c r="D304" s="1" t="s">
        <v>182</v>
      </c>
      <c r="E304" t="s">
        <v>212</v>
      </c>
      <c r="F304">
        <v>14.617000000000001</v>
      </c>
      <c r="G304" s="2"/>
    </row>
    <row r="305" spans="1:7" ht="17" hidden="1" customHeight="1" x14ac:dyDescent="0.2">
      <c r="A305" t="s">
        <v>167</v>
      </c>
      <c r="B305" t="s">
        <v>33</v>
      </c>
      <c r="C305" t="s">
        <v>61</v>
      </c>
      <c r="D305" s="1" t="s">
        <v>183</v>
      </c>
      <c r="E305" t="s">
        <v>212</v>
      </c>
      <c r="F305">
        <v>13.417</v>
      </c>
      <c r="G305" s="2"/>
    </row>
    <row r="306" spans="1:7" ht="17" hidden="1" customHeight="1" x14ac:dyDescent="0.2">
      <c r="A306" t="s">
        <v>167</v>
      </c>
      <c r="B306" t="s">
        <v>64</v>
      </c>
      <c r="C306" t="s">
        <v>65</v>
      </c>
      <c r="D306" s="1" t="s">
        <v>184</v>
      </c>
      <c r="E306" t="s">
        <v>212</v>
      </c>
      <c r="F306">
        <v>12.226000000000001</v>
      </c>
      <c r="G306" s="2"/>
    </row>
    <row r="307" spans="1:7" ht="17" hidden="1" customHeight="1" x14ac:dyDescent="0.2">
      <c r="A307" t="s">
        <v>167</v>
      </c>
      <c r="B307" t="s">
        <v>64</v>
      </c>
      <c r="C307" t="s">
        <v>68</v>
      </c>
      <c r="D307" s="1" t="s">
        <v>185</v>
      </c>
      <c r="E307" t="s">
        <v>212</v>
      </c>
      <c r="F307">
        <v>11.96</v>
      </c>
      <c r="G307" s="2"/>
    </row>
    <row r="308" spans="1:7" ht="17" hidden="1" customHeight="1" x14ac:dyDescent="0.2">
      <c r="A308" t="s">
        <v>167</v>
      </c>
      <c r="B308" t="s">
        <v>64</v>
      </c>
      <c r="C308" t="s">
        <v>71</v>
      </c>
      <c r="D308" s="1" t="s">
        <v>186</v>
      </c>
      <c r="E308" t="s">
        <v>212</v>
      </c>
      <c r="F308">
        <v>12.962</v>
      </c>
      <c r="G308" s="2"/>
    </row>
    <row r="309" spans="1:7" ht="17" hidden="1" customHeight="1" x14ac:dyDescent="0.2">
      <c r="A309" t="s">
        <v>167</v>
      </c>
      <c r="B309" t="s">
        <v>64</v>
      </c>
      <c r="C309" t="s">
        <v>74</v>
      </c>
      <c r="D309" s="1" t="s">
        <v>187</v>
      </c>
      <c r="E309" t="s">
        <v>212</v>
      </c>
      <c r="F309">
        <v>13.227</v>
      </c>
      <c r="G309" s="2"/>
    </row>
    <row r="310" spans="1:7" ht="17" hidden="1" customHeight="1" x14ac:dyDescent="0.2">
      <c r="A310" t="s">
        <v>167</v>
      </c>
      <c r="B310" t="s">
        <v>64</v>
      </c>
      <c r="C310" t="s">
        <v>77</v>
      </c>
      <c r="D310" s="1" t="s">
        <v>188</v>
      </c>
      <c r="E310" t="s">
        <v>212</v>
      </c>
      <c r="F310">
        <v>11.797000000000001</v>
      </c>
      <c r="G310" s="2"/>
    </row>
    <row r="311" spans="1:7" ht="17" hidden="1" customHeight="1" x14ac:dyDescent="0.2">
      <c r="A311" t="s">
        <v>167</v>
      </c>
      <c r="B311" t="s">
        <v>80</v>
      </c>
      <c r="C311" t="s">
        <v>81</v>
      </c>
      <c r="D311" s="1" t="s">
        <v>189</v>
      </c>
      <c r="E311" t="s">
        <v>212</v>
      </c>
      <c r="F311">
        <v>12.772</v>
      </c>
      <c r="G311" s="2"/>
    </row>
    <row r="312" spans="1:7" ht="17" hidden="1" customHeight="1" x14ac:dyDescent="0.2">
      <c r="A312" t="s">
        <v>167</v>
      </c>
      <c r="B312" t="s">
        <v>80</v>
      </c>
      <c r="C312" t="s">
        <v>84</v>
      </c>
      <c r="D312" s="1" t="s">
        <v>190</v>
      </c>
      <c r="E312" t="s">
        <v>212</v>
      </c>
      <c r="F312">
        <v>14.766</v>
      </c>
      <c r="G312" s="2"/>
    </row>
    <row r="313" spans="1:7" ht="17" hidden="1" customHeight="1" x14ac:dyDescent="0.2">
      <c r="A313" t="s">
        <v>167</v>
      </c>
      <c r="B313" t="s">
        <v>80</v>
      </c>
      <c r="C313" t="s">
        <v>87</v>
      </c>
      <c r="D313" s="1" t="s">
        <v>191</v>
      </c>
      <c r="E313" t="s">
        <v>212</v>
      </c>
      <c r="F313">
        <v>12.901</v>
      </c>
      <c r="G313" s="2"/>
    </row>
    <row r="314" spans="1:7" ht="17" hidden="1" customHeight="1" x14ac:dyDescent="0.2">
      <c r="A314" t="s">
        <v>167</v>
      </c>
      <c r="B314" t="s">
        <v>80</v>
      </c>
      <c r="C314" t="s">
        <v>90</v>
      </c>
      <c r="D314" s="1" t="s">
        <v>192</v>
      </c>
      <c r="E314" t="s">
        <v>212</v>
      </c>
      <c r="F314">
        <v>14.071</v>
      </c>
      <c r="G314" s="2"/>
    </row>
    <row r="315" spans="1:7" ht="17" hidden="1" customHeight="1" x14ac:dyDescent="0.2">
      <c r="A315" t="s">
        <v>167</v>
      </c>
      <c r="B315" t="s">
        <v>80</v>
      </c>
      <c r="C315" t="s">
        <v>93</v>
      </c>
      <c r="D315" s="1" t="s">
        <v>193</v>
      </c>
      <c r="E315" t="s">
        <v>212</v>
      </c>
      <c r="F315">
        <v>13.457000000000001</v>
      </c>
      <c r="G315" s="2"/>
    </row>
    <row r="316" spans="1:7" ht="17" hidden="1" customHeight="1" x14ac:dyDescent="0.2">
      <c r="A316" t="s">
        <v>167</v>
      </c>
      <c r="B316" t="s">
        <v>80</v>
      </c>
      <c r="C316" t="s">
        <v>96</v>
      </c>
      <c r="D316" s="1" t="s">
        <v>194</v>
      </c>
      <c r="E316" t="s">
        <v>212</v>
      </c>
      <c r="F316">
        <v>16.262</v>
      </c>
      <c r="G316" s="2"/>
    </row>
    <row r="317" spans="1:7" ht="17" hidden="1" customHeight="1" x14ac:dyDescent="0.2">
      <c r="A317" t="s">
        <v>167</v>
      </c>
      <c r="B317" t="s">
        <v>80</v>
      </c>
      <c r="C317" t="s">
        <v>99</v>
      </c>
      <c r="D317" s="1" t="s">
        <v>195</v>
      </c>
      <c r="E317" t="s">
        <v>212</v>
      </c>
      <c r="F317">
        <v>13.5</v>
      </c>
      <c r="G317" s="2"/>
    </row>
    <row r="318" spans="1:7" ht="17" hidden="1" customHeight="1" x14ac:dyDescent="0.2">
      <c r="A318" t="s">
        <v>167</v>
      </c>
      <c r="B318" t="s">
        <v>80</v>
      </c>
      <c r="C318" t="s">
        <v>102</v>
      </c>
      <c r="D318" s="1" t="s">
        <v>196</v>
      </c>
      <c r="E318" t="s">
        <v>212</v>
      </c>
      <c r="F318">
        <v>14.178000000000001</v>
      </c>
      <c r="G318" s="2"/>
    </row>
    <row r="319" spans="1:7" ht="17" hidden="1" customHeight="1" x14ac:dyDescent="0.2">
      <c r="A319" t="s">
        <v>167</v>
      </c>
      <c r="B319" t="s">
        <v>105</v>
      </c>
      <c r="C319" t="s">
        <v>106</v>
      </c>
      <c r="D319" s="1" t="s">
        <v>197</v>
      </c>
      <c r="E319" t="s">
        <v>212</v>
      </c>
      <c r="F319">
        <v>11.108000000000001</v>
      </c>
      <c r="G319" s="2"/>
    </row>
    <row r="320" spans="1:7" ht="17" hidden="1" customHeight="1" x14ac:dyDescent="0.2">
      <c r="A320" t="s">
        <v>167</v>
      </c>
      <c r="B320" t="s">
        <v>105</v>
      </c>
      <c r="C320" t="s">
        <v>109</v>
      </c>
      <c r="D320" s="1" t="s">
        <v>198</v>
      </c>
      <c r="E320" t="s">
        <v>212</v>
      </c>
      <c r="F320">
        <v>12.571999999999999</v>
      </c>
      <c r="G320" s="2"/>
    </row>
    <row r="321" spans="1:7" ht="17" hidden="1" customHeight="1" x14ac:dyDescent="0.2">
      <c r="A321" t="s">
        <v>167</v>
      </c>
      <c r="B321" t="s">
        <v>105</v>
      </c>
      <c r="C321" t="s">
        <v>112</v>
      </c>
      <c r="D321" s="1" t="s">
        <v>199</v>
      </c>
      <c r="E321" t="s">
        <v>212</v>
      </c>
      <c r="F321">
        <v>14.43</v>
      </c>
      <c r="G321" s="2"/>
    </row>
    <row r="322" spans="1:7" ht="17" hidden="1" customHeight="1" x14ac:dyDescent="0.2">
      <c r="A322" t="s">
        <v>167</v>
      </c>
      <c r="B322" t="s">
        <v>105</v>
      </c>
      <c r="C322" t="s">
        <v>115</v>
      </c>
      <c r="D322" s="1" t="s">
        <v>200</v>
      </c>
      <c r="E322" t="s">
        <v>212</v>
      </c>
      <c r="F322">
        <v>12.836</v>
      </c>
      <c r="G322" s="2"/>
    </row>
    <row r="323" spans="1:7" ht="17" hidden="1" customHeight="1" x14ac:dyDescent="0.2">
      <c r="A323" t="s">
        <v>167</v>
      </c>
      <c r="B323" t="s">
        <v>105</v>
      </c>
      <c r="C323" t="s">
        <v>118</v>
      </c>
      <c r="D323" s="1" t="s">
        <v>201</v>
      </c>
      <c r="E323" t="s">
        <v>212</v>
      </c>
      <c r="F323">
        <v>14.396000000000001</v>
      </c>
      <c r="G323" s="2"/>
    </row>
    <row r="324" spans="1:7" ht="17" hidden="1" customHeight="1" x14ac:dyDescent="0.2">
      <c r="A324" t="s">
        <v>167</v>
      </c>
      <c r="B324" t="s">
        <v>121</v>
      </c>
      <c r="C324" t="s">
        <v>122</v>
      </c>
      <c r="D324" s="1" t="s">
        <v>202</v>
      </c>
      <c r="E324" t="s">
        <v>212</v>
      </c>
      <c r="F324">
        <v>15.891</v>
      </c>
      <c r="G324" s="2"/>
    </row>
    <row r="325" spans="1:7" ht="17" hidden="1" customHeight="1" x14ac:dyDescent="0.2">
      <c r="A325" t="s">
        <v>167</v>
      </c>
      <c r="B325" t="s">
        <v>121</v>
      </c>
      <c r="C325" t="s">
        <v>125</v>
      </c>
      <c r="D325" s="1" t="s">
        <v>203</v>
      </c>
      <c r="E325" t="s">
        <v>212</v>
      </c>
      <c r="F325">
        <v>19.95</v>
      </c>
      <c r="G325" s="2"/>
    </row>
    <row r="326" spans="1:7" ht="17" hidden="1" customHeight="1" x14ac:dyDescent="0.2">
      <c r="A326" t="s">
        <v>13</v>
      </c>
      <c r="B326" t="s">
        <v>14</v>
      </c>
      <c r="C326" t="s">
        <v>15</v>
      </c>
      <c r="D326" s="1" t="s">
        <v>17</v>
      </c>
      <c r="E326" t="s">
        <v>213</v>
      </c>
      <c r="F326">
        <v>11.063000000000001</v>
      </c>
      <c r="G326" s="2"/>
    </row>
    <row r="327" spans="1:7" ht="17" hidden="1" customHeight="1" x14ac:dyDescent="0.2">
      <c r="A327" t="s">
        <v>13</v>
      </c>
      <c r="B327" t="s">
        <v>14</v>
      </c>
      <c r="C327" t="s">
        <v>18</v>
      </c>
      <c r="D327" s="1" t="s">
        <v>20</v>
      </c>
      <c r="E327" t="s">
        <v>213</v>
      </c>
      <c r="F327">
        <v>16.640999999999998</v>
      </c>
      <c r="G327" s="2"/>
    </row>
    <row r="328" spans="1:7" ht="17" hidden="1" customHeight="1" x14ac:dyDescent="0.2">
      <c r="A328" t="s">
        <v>13</v>
      </c>
      <c r="B328" t="s">
        <v>14</v>
      </c>
      <c r="C328" t="s">
        <v>21</v>
      </c>
      <c r="D328" s="1" t="s">
        <v>23</v>
      </c>
      <c r="E328" t="s">
        <v>213</v>
      </c>
      <c r="F328">
        <v>11.077</v>
      </c>
      <c r="G328" s="2"/>
    </row>
    <row r="329" spans="1:7" ht="17" hidden="1" customHeight="1" x14ac:dyDescent="0.2">
      <c r="A329" t="s">
        <v>13</v>
      </c>
      <c r="B329" t="s">
        <v>14</v>
      </c>
      <c r="C329" t="s">
        <v>24</v>
      </c>
      <c r="D329" s="1" t="s">
        <v>26</v>
      </c>
      <c r="E329" t="s">
        <v>213</v>
      </c>
      <c r="F329">
        <v>10.769</v>
      </c>
      <c r="G329" s="2"/>
    </row>
    <row r="330" spans="1:7" ht="17" hidden="1" customHeight="1" x14ac:dyDescent="0.2">
      <c r="A330" t="s">
        <v>13</v>
      </c>
      <c r="B330" t="s">
        <v>14</v>
      </c>
      <c r="C330" t="s">
        <v>27</v>
      </c>
      <c r="D330" s="1" t="s">
        <v>29</v>
      </c>
      <c r="E330" t="s">
        <v>213</v>
      </c>
      <c r="F330">
        <v>16.292999999999999</v>
      </c>
      <c r="G330" s="2"/>
    </row>
    <row r="331" spans="1:7" ht="17" hidden="1" customHeight="1" x14ac:dyDescent="0.2">
      <c r="A331" t="s">
        <v>13</v>
      </c>
      <c r="B331" t="s">
        <v>14</v>
      </c>
      <c r="C331" t="s">
        <v>30</v>
      </c>
      <c r="D331" s="1" t="s">
        <v>32</v>
      </c>
      <c r="E331" t="s">
        <v>213</v>
      </c>
      <c r="F331">
        <v>14.581</v>
      </c>
      <c r="G331" s="2"/>
    </row>
    <row r="332" spans="1:7" ht="17" hidden="1" customHeight="1" x14ac:dyDescent="0.2">
      <c r="A332" t="s">
        <v>13</v>
      </c>
      <c r="B332" t="s">
        <v>33</v>
      </c>
      <c r="C332" t="s">
        <v>34</v>
      </c>
      <c r="D332" s="1" t="s">
        <v>36</v>
      </c>
      <c r="E332" t="s">
        <v>213</v>
      </c>
      <c r="F332">
        <v>12.565</v>
      </c>
      <c r="G332" s="2"/>
    </row>
    <row r="333" spans="1:7" ht="17" hidden="1" customHeight="1" x14ac:dyDescent="0.2">
      <c r="A333" t="s">
        <v>13</v>
      </c>
      <c r="B333" t="s">
        <v>33</v>
      </c>
      <c r="C333" t="s">
        <v>37</v>
      </c>
      <c r="D333" s="1" t="s">
        <v>39</v>
      </c>
      <c r="E333" t="s">
        <v>213</v>
      </c>
      <c r="F333">
        <v>13.102</v>
      </c>
      <c r="G333" s="2"/>
    </row>
    <row r="334" spans="1:7" ht="17" hidden="1" customHeight="1" x14ac:dyDescent="0.2">
      <c r="A334" t="s">
        <v>13</v>
      </c>
      <c r="B334" t="s">
        <v>33</v>
      </c>
      <c r="C334" t="s">
        <v>40</v>
      </c>
      <c r="D334" s="1" t="s">
        <v>42</v>
      </c>
      <c r="E334" t="s">
        <v>213</v>
      </c>
      <c r="F334">
        <v>13.39</v>
      </c>
      <c r="G334" s="2"/>
    </row>
    <row r="335" spans="1:7" ht="17" hidden="1" customHeight="1" x14ac:dyDescent="0.2">
      <c r="A335" t="s">
        <v>13</v>
      </c>
      <c r="B335" t="s">
        <v>33</v>
      </c>
      <c r="C335" t="s">
        <v>43</v>
      </c>
      <c r="D335" s="1" t="s">
        <v>45</v>
      </c>
      <c r="E335" t="s">
        <v>213</v>
      </c>
      <c r="F335">
        <v>14.087</v>
      </c>
      <c r="G335" s="2"/>
    </row>
    <row r="336" spans="1:7" ht="17" hidden="1" customHeight="1" x14ac:dyDescent="0.2">
      <c r="A336" t="s">
        <v>13</v>
      </c>
      <c r="B336" t="s">
        <v>33</v>
      </c>
      <c r="C336" t="s">
        <v>46</v>
      </c>
      <c r="D336" s="1" t="s">
        <v>48</v>
      </c>
      <c r="E336" t="s">
        <v>213</v>
      </c>
      <c r="F336">
        <v>21.818999999999999</v>
      </c>
      <c r="G336" s="2"/>
    </row>
    <row r="337" spans="1:7" ht="17" hidden="1" customHeight="1" x14ac:dyDescent="0.2">
      <c r="A337" t="s">
        <v>13</v>
      </c>
      <c r="B337" t="s">
        <v>33</v>
      </c>
      <c r="C337" t="s">
        <v>49</v>
      </c>
      <c r="D337" s="1" t="s">
        <v>51</v>
      </c>
      <c r="E337" t="s">
        <v>213</v>
      </c>
      <c r="F337">
        <v>16.375</v>
      </c>
      <c r="G337" s="2"/>
    </row>
    <row r="338" spans="1:7" ht="17" hidden="1" customHeight="1" x14ac:dyDescent="0.2">
      <c r="A338" t="s">
        <v>13</v>
      </c>
      <c r="B338" t="s">
        <v>33</v>
      </c>
      <c r="C338" t="s">
        <v>52</v>
      </c>
      <c r="D338" s="1" t="s">
        <v>54</v>
      </c>
      <c r="E338" t="s">
        <v>213</v>
      </c>
      <c r="F338">
        <v>10.563000000000001</v>
      </c>
      <c r="G338" s="2"/>
    </row>
    <row r="339" spans="1:7" ht="17" hidden="1" customHeight="1" x14ac:dyDescent="0.2">
      <c r="A339" t="s">
        <v>13</v>
      </c>
      <c r="B339" t="s">
        <v>33</v>
      </c>
      <c r="C339" t="s">
        <v>55</v>
      </c>
      <c r="D339" s="1" t="s">
        <v>57</v>
      </c>
      <c r="E339" t="s">
        <v>213</v>
      </c>
      <c r="F339">
        <v>10.154999999999999</v>
      </c>
      <c r="G339" s="2"/>
    </row>
    <row r="340" spans="1:7" ht="17" customHeight="1" x14ac:dyDescent="0.2">
      <c r="A340" t="s">
        <v>13</v>
      </c>
      <c r="B340" t="s">
        <v>33</v>
      </c>
      <c r="C340" t="s">
        <v>58</v>
      </c>
      <c r="D340" s="1" t="s">
        <v>60</v>
      </c>
      <c r="E340" t="s">
        <v>213</v>
      </c>
      <c r="F340">
        <v>16.341000000000001</v>
      </c>
      <c r="G340" s="2"/>
    </row>
    <row r="341" spans="1:7" ht="17" hidden="1" customHeight="1" x14ac:dyDescent="0.2">
      <c r="A341" t="s">
        <v>13</v>
      </c>
      <c r="B341" t="s">
        <v>33</v>
      </c>
      <c r="C341" t="s">
        <v>61</v>
      </c>
      <c r="D341" s="1" t="s">
        <v>63</v>
      </c>
      <c r="E341" t="s">
        <v>213</v>
      </c>
      <c r="F341">
        <v>6.6079999999999997</v>
      </c>
      <c r="G341" s="2"/>
    </row>
    <row r="342" spans="1:7" ht="17" hidden="1" customHeight="1" x14ac:dyDescent="0.2">
      <c r="A342" t="s">
        <v>13</v>
      </c>
      <c r="B342" t="s">
        <v>64</v>
      </c>
      <c r="C342" t="s">
        <v>65</v>
      </c>
      <c r="D342" s="1" t="s">
        <v>67</v>
      </c>
      <c r="E342" t="s">
        <v>213</v>
      </c>
      <c r="F342">
        <v>10.824999999999999</v>
      </c>
      <c r="G342" s="2"/>
    </row>
    <row r="343" spans="1:7" ht="17" hidden="1" customHeight="1" x14ac:dyDescent="0.2">
      <c r="A343" t="s">
        <v>13</v>
      </c>
      <c r="B343" t="s">
        <v>64</v>
      </c>
      <c r="C343" t="s">
        <v>68</v>
      </c>
      <c r="D343" s="1" t="s">
        <v>70</v>
      </c>
      <c r="E343" t="s">
        <v>213</v>
      </c>
      <c r="F343">
        <v>13.372</v>
      </c>
      <c r="G343" s="2"/>
    </row>
    <row r="344" spans="1:7" ht="17" hidden="1" customHeight="1" x14ac:dyDescent="0.2">
      <c r="A344" t="s">
        <v>13</v>
      </c>
      <c r="B344" t="s">
        <v>64</v>
      </c>
      <c r="C344" t="s">
        <v>71</v>
      </c>
      <c r="D344" s="1" t="s">
        <v>73</v>
      </c>
      <c r="E344" t="s">
        <v>213</v>
      </c>
      <c r="F344">
        <v>11.569000000000001</v>
      </c>
      <c r="G344" s="2"/>
    </row>
    <row r="345" spans="1:7" ht="17" hidden="1" customHeight="1" x14ac:dyDescent="0.2">
      <c r="A345" t="s">
        <v>13</v>
      </c>
      <c r="B345" t="s">
        <v>64</v>
      </c>
      <c r="C345" t="s">
        <v>74</v>
      </c>
      <c r="D345" s="1" t="s">
        <v>76</v>
      </c>
      <c r="E345" t="s">
        <v>213</v>
      </c>
      <c r="F345">
        <v>11.13</v>
      </c>
      <c r="G345" s="2"/>
    </row>
    <row r="346" spans="1:7" ht="17" hidden="1" customHeight="1" x14ac:dyDescent="0.2">
      <c r="A346" t="s">
        <v>13</v>
      </c>
      <c r="B346" t="s">
        <v>64</v>
      </c>
      <c r="C346" t="s">
        <v>77</v>
      </c>
      <c r="D346" s="1" t="s">
        <v>79</v>
      </c>
      <c r="E346" t="s">
        <v>213</v>
      </c>
      <c r="F346">
        <v>9.2240000000000002</v>
      </c>
      <c r="G346" s="2"/>
    </row>
    <row r="347" spans="1:7" ht="17" hidden="1" customHeight="1" x14ac:dyDescent="0.2">
      <c r="A347" t="s">
        <v>13</v>
      </c>
      <c r="B347" t="s">
        <v>80</v>
      </c>
      <c r="C347" t="s">
        <v>81</v>
      </c>
      <c r="D347" s="1" t="s">
        <v>83</v>
      </c>
      <c r="E347" t="s">
        <v>213</v>
      </c>
      <c r="F347">
        <v>14.353</v>
      </c>
      <c r="G347" s="2"/>
    </row>
    <row r="348" spans="1:7" ht="17" hidden="1" customHeight="1" x14ac:dyDescent="0.2">
      <c r="A348" t="s">
        <v>13</v>
      </c>
      <c r="B348" t="s">
        <v>80</v>
      </c>
      <c r="C348" t="s">
        <v>84</v>
      </c>
      <c r="D348" s="1" t="s">
        <v>86</v>
      </c>
      <c r="E348" t="s">
        <v>213</v>
      </c>
      <c r="F348">
        <v>21.954000000000001</v>
      </c>
      <c r="G348" s="2"/>
    </row>
    <row r="349" spans="1:7" ht="17" hidden="1" customHeight="1" x14ac:dyDescent="0.2">
      <c r="A349" t="s">
        <v>13</v>
      </c>
      <c r="B349" t="s">
        <v>80</v>
      </c>
      <c r="C349" t="s">
        <v>87</v>
      </c>
      <c r="D349" s="1" t="s">
        <v>89</v>
      </c>
      <c r="E349" t="s">
        <v>213</v>
      </c>
      <c r="F349">
        <v>13.664999999999999</v>
      </c>
      <c r="G349" s="2"/>
    </row>
    <row r="350" spans="1:7" ht="17" hidden="1" customHeight="1" x14ac:dyDescent="0.2">
      <c r="A350" t="s">
        <v>13</v>
      </c>
      <c r="B350" t="s">
        <v>80</v>
      </c>
      <c r="C350" t="s">
        <v>90</v>
      </c>
      <c r="D350" s="1" t="s">
        <v>92</v>
      </c>
      <c r="E350" t="s">
        <v>213</v>
      </c>
      <c r="F350">
        <v>15.109</v>
      </c>
      <c r="G350" s="2"/>
    </row>
    <row r="351" spans="1:7" ht="17" hidden="1" customHeight="1" x14ac:dyDescent="0.2">
      <c r="A351" t="s">
        <v>13</v>
      </c>
      <c r="B351" t="s">
        <v>80</v>
      </c>
      <c r="C351" t="s">
        <v>93</v>
      </c>
      <c r="D351" s="1" t="s">
        <v>95</v>
      </c>
      <c r="E351" t="s">
        <v>213</v>
      </c>
      <c r="F351">
        <v>10.249000000000001</v>
      </c>
      <c r="G351" s="2"/>
    </row>
    <row r="352" spans="1:7" ht="17" hidden="1" customHeight="1" x14ac:dyDescent="0.2">
      <c r="A352" t="s">
        <v>13</v>
      </c>
      <c r="B352" t="s">
        <v>80</v>
      </c>
      <c r="C352" t="s">
        <v>96</v>
      </c>
      <c r="D352" s="1" t="s">
        <v>98</v>
      </c>
      <c r="E352" t="s">
        <v>213</v>
      </c>
      <c r="F352">
        <v>12.04</v>
      </c>
      <c r="G352" s="2"/>
    </row>
    <row r="353" spans="1:7" ht="17" hidden="1" customHeight="1" x14ac:dyDescent="0.2">
      <c r="A353" t="s">
        <v>13</v>
      </c>
      <c r="B353" t="s">
        <v>80</v>
      </c>
      <c r="C353" t="s">
        <v>99</v>
      </c>
      <c r="D353" s="1" t="s">
        <v>101</v>
      </c>
      <c r="E353" t="s">
        <v>213</v>
      </c>
      <c r="F353">
        <v>20.152999999999999</v>
      </c>
      <c r="G353" s="2"/>
    </row>
    <row r="354" spans="1:7" ht="17" hidden="1" customHeight="1" x14ac:dyDescent="0.2">
      <c r="A354" t="s">
        <v>13</v>
      </c>
      <c r="B354" t="s">
        <v>80</v>
      </c>
      <c r="C354" t="s">
        <v>102</v>
      </c>
      <c r="D354" s="1" t="s">
        <v>104</v>
      </c>
      <c r="E354" t="s">
        <v>213</v>
      </c>
      <c r="F354">
        <v>17.663</v>
      </c>
      <c r="G354" s="2"/>
    </row>
    <row r="355" spans="1:7" ht="17" hidden="1" customHeight="1" x14ac:dyDescent="0.2">
      <c r="A355" t="s">
        <v>13</v>
      </c>
      <c r="B355" t="s">
        <v>105</v>
      </c>
      <c r="C355" t="s">
        <v>106</v>
      </c>
      <c r="D355" s="1" t="s">
        <v>108</v>
      </c>
      <c r="E355" t="s">
        <v>213</v>
      </c>
      <c r="F355">
        <v>14.928000000000001</v>
      </c>
      <c r="G355" s="2"/>
    </row>
    <row r="356" spans="1:7" ht="17" hidden="1" customHeight="1" x14ac:dyDescent="0.2">
      <c r="A356" t="s">
        <v>13</v>
      </c>
      <c r="B356" t="s">
        <v>105</v>
      </c>
      <c r="C356" t="s">
        <v>109</v>
      </c>
      <c r="D356" s="1" t="s">
        <v>111</v>
      </c>
      <c r="E356" t="s">
        <v>213</v>
      </c>
      <c r="F356">
        <v>7.78</v>
      </c>
      <c r="G356" s="2"/>
    </row>
    <row r="357" spans="1:7" ht="17" hidden="1" customHeight="1" x14ac:dyDescent="0.2">
      <c r="A357" t="s">
        <v>13</v>
      </c>
      <c r="B357" t="s">
        <v>105</v>
      </c>
      <c r="C357" t="s">
        <v>112</v>
      </c>
      <c r="D357" s="1" t="s">
        <v>114</v>
      </c>
      <c r="E357" t="s">
        <v>213</v>
      </c>
      <c r="F357">
        <v>15.917999999999999</v>
      </c>
      <c r="G357" s="2"/>
    </row>
    <row r="358" spans="1:7" ht="17" hidden="1" customHeight="1" x14ac:dyDescent="0.2">
      <c r="A358" t="s">
        <v>13</v>
      </c>
      <c r="B358" t="s">
        <v>105</v>
      </c>
      <c r="C358" t="s">
        <v>115</v>
      </c>
      <c r="D358" s="1" t="s">
        <v>117</v>
      </c>
      <c r="E358" t="s">
        <v>213</v>
      </c>
      <c r="F358">
        <v>15.42</v>
      </c>
      <c r="G358" s="2"/>
    </row>
    <row r="359" spans="1:7" ht="17" hidden="1" customHeight="1" x14ac:dyDescent="0.2">
      <c r="A359" t="s">
        <v>13</v>
      </c>
      <c r="B359" t="s">
        <v>105</v>
      </c>
      <c r="C359" t="s">
        <v>118</v>
      </c>
      <c r="D359" s="1" t="s">
        <v>120</v>
      </c>
      <c r="E359" t="s">
        <v>213</v>
      </c>
      <c r="F359">
        <v>10.441000000000001</v>
      </c>
      <c r="G359" s="2"/>
    </row>
    <row r="360" spans="1:7" ht="17" hidden="1" customHeight="1" x14ac:dyDescent="0.2">
      <c r="A360" t="s">
        <v>13</v>
      </c>
      <c r="B360" t="s">
        <v>121</v>
      </c>
      <c r="C360" t="s">
        <v>122</v>
      </c>
      <c r="D360" s="1" t="s">
        <v>124</v>
      </c>
      <c r="E360" t="s">
        <v>213</v>
      </c>
      <c r="F360">
        <v>8.4280000000000008</v>
      </c>
      <c r="G360" s="2"/>
    </row>
    <row r="361" spans="1:7" ht="17" hidden="1" customHeight="1" x14ac:dyDescent="0.2">
      <c r="A361" t="s">
        <v>13</v>
      </c>
      <c r="B361" t="s">
        <v>121</v>
      </c>
      <c r="C361" t="s">
        <v>125</v>
      </c>
      <c r="D361" s="1" t="s">
        <v>127</v>
      </c>
      <c r="E361" t="s">
        <v>213</v>
      </c>
      <c r="F361">
        <v>7.9889999999999999</v>
      </c>
      <c r="G361" s="2"/>
    </row>
    <row r="362" spans="1:7" ht="17" hidden="1" customHeight="1" x14ac:dyDescent="0.2">
      <c r="A362" t="s">
        <v>129</v>
      </c>
      <c r="B362" t="s">
        <v>14</v>
      </c>
      <c r="C362" t="s">
        <v>15</v>
      </c>
      <c r="D362" s="1" t="s">
        <v>130</v>
      </c>
      <c r="E362" t="s">
        <v>213</v>
      </c>
      <c r="F362">
        <v>9.5760000000000005</v>
      </c>
      <c r="G362" s="2"/>
    </row>
    <row r="363" spans="1:7" ht="17" hidden="1" customHeight="1" x14ac:dyDescent="0.2">
      <c r="A363" t="s">
        <v>129</v>
      </c>
      <c r="B363" t="s">
        <v>14</v>
      </c>
      <c r="C363" t="s">
        <v>18</v>
      </c>
      <c r="D363" s="1" t="s">
        <v>131</v>
      </c>
      <c r="E363" t="s">
        <v>213</v>
      </c>
      <c r="F363">
        <v>15.099</v>
      </c>
      <c r="G363" s="2"/>
    </row>
    <row r="364" spans="1:7" ht="17" hidden="1" customHeight="1" x14ac:dyDescent="0.2">
      <c r="A364" t="s">
        <v>129</v>
      </c>
      <c r="B364" t="s">
        <v>14</v>
      </c>
      <c r="C364" t="s">
        <v>21</v>
      </c>
      <c r="D364" s="1" t="s">
        <v>132</v>
      </c>
      <c r="E364" t="s">
        <v>213</v>
      </c>
      <c r="F364">
        <v>12.038</v>
      </c>
      <c r="G364" s="2"/>
    </row>
    <row r="365" spans="1:7" ht="17" hidden="1" customHeight="1" x14ac:dyDescent="0.2">
      <c r="A365" t="s">
        <v>129</v>
      </c>
      <c r="B365" t="s">
        <v>14</v>
      </c>
      <c r="C365" t="s">
        <v>24</v>
      </c>
      <c r="D365" s="1" t="s">
        <v>133</v>
      </c>
      <c r="E365" t="s">
        <v>213</v>
      </c>
      <c r="F365">
        <v>7.05</v>
      </c>
      <c r="G365" s="2"/>
    </row>
    <row r="366" spans="1:7" ht="17" hidden="1" customHeight="1" x14ac:dyDescent="0.2">
      <c r="A366" t="s">
        <v>129</v>
      </c>
      <c r="B366" t="s">
        <v>14</v>
      </c>
      <c r="C366" t="s">
        <v>27</v>
      </c>
      <c r="D366" s="1" t="s">
        <v>134</v>
      </c>
      <c r="E366" t="s">
        <v>213</v>
      </c>
      <c r="F366">
        <v>14.122</v>
      </c>
      <c r="G366" s="2"/>
    </row>
    <row r="367" spans="1:7" ht="17" hidden="1" customHeight="1" x14ac:dyDescent="0.2">
      <c r="A367" t="s">
        <v>129</v>
      </c>
      <c r="B367" t="s">
        <v>14</v>
      </c>
      <c r="C367" t="s">
        <v>30</v>
      </c>
      <c r="D367" s="1" t="s">
        <v>135</v>
      </c>
      <c r="E367" t="s">
        <v>213</v>
      </c>
      <c r="F367">
        <v>15.172000000000001</v>
      </c>
      <c r="G367" s="2"/>
    </row>
    <row r="368" spans="1:7" ht="17" hidden="1" customHeight="1" x14ac:dyDescent="0.2">
      <c r="A368" t="s">
        <v>129</v>
      </c>
      <c r="B368" t="s">
        <v>33</v>
      </c>
      <c r="C368" t="s">
        <v>34</v>
      </c>
      <c r="D368" s="1" t="s">
        <v>136</v>
      </c>
      <c r="E368" t="s">
        <v>213</v>
      </c>
      <c r="F368">
        <v>16.07</v>
      </c>
      <c r="G368" s="2"/>
    </row>
    <row r="369" spans="1:7" ht="17" hidden="1" customHeight="1" x14ac:dyDescent="0.2">
      <c r="A369" t="s">
        <v>129</v>
      </c>
      <c r="B369" t="s">
        <v>33</v>
      </c>
      <c r="C369" t="s">
        <v>37</v>
      </c>
      <c r="D369" s="1" t="s">
        <v>137</v>
      </c>
      <c r="E369" t="s">
        <v>213</v>
      </c>
      <c r="F369">
        <v>15.612</v>
      </c>
      <c r="G369" s="2"/>
    </row>
    <row r="370" spans="1:7" ht="17" hidden="1" customHeight="1" x14ac:dyDescent="0.2">
      <c r="A370" t="s">
        <v>129</v>
      </c>
      <c r="B370" t="s">
        <v>33</v>
      </c>
      <c r="C370" t="s">
        <v>40</v>
      </c>
      <c r="D370" s="1" t="s">
        <v>138</v>
      </c>
      <c r="E370" t="s">
        <v>213</v>
      </c>
      <c r="F370">
        <v>15.28</v>
      </c>
      <c r="G370" s="2"/>
    </row>
    <row r="371" spans="1:7" ht="17" hidden="1" customHeight="1" x14ac:dyDescent="0.2">
      <c r="A371" t="s">
        <v>129</v>
      </c>
      <c r="B371" t="s">
        <v>33</v>
      </c>
      <c r="C371" t="s">
        <v>43</v>
      </c>
      <c r="D371" s="1" t="s">
        <v>139</v>
      </c>
      <c r="E371" t="s">
        <v>213</v>
      </c>
      <c r="F371">
        <v>17.75</v>
      </c>
      <c r="G371" s="2"/>
    </row>
    <row r="372" spans="1:7" ht="17" hidden="1" customHeight="1" x14ac:dyDescent="0.2">
      <c r="A372" t="s">
        <v>129</v>
      </c>
      <c r="B372" t="s">
        <v>33</v>
      </c>
      <c r="C372" t="s">
        <v>46</v>
      </c>
      <c r="D372" s="1" t="s">
        <v>140</v>
      </c>
      <c r="E372" t="s">
        <v>213</v>
      </c>
      <c r="F372">
        <v>15.679</v>
      </c>
      <c r="G372" s="2"/>
    </row>
    <row r="373" spans="1:7" ht="17" hidden="1" customHeight="1" x14ac:dyDescent="0.2">
      <c r="A373" t="s">
        <v>129</v>
      </c>
      <c r="B373" t="s">
        <v>33</v>
      </c>
      <c r="C373" t="s">
        <v>49</v>
      </c>
      <c r="D373" s="1" t="s">
        <v>141</v>
      </c>
      <c r="E373" t="s">
        <v>213</v>
      </c>
      <c r="F373">
        <v>16.437000000000001</v>
      </c>
      <c r="G373" s="2"/>
    </row>
    <row r="374" spans="1:7" ht="17" hidden="1" customHeight="1" x14ac:dyDescent="0.2">
      <c r="A374" t="s">
        <v>129</v>
      </c>
      <c r="B374" t="s">
        <v>33</v>
      </c>
      <c r="C374" t="s">
        <v>52</v>
      </c>
      <c r="D374" s="1" t="s">
        <v>142</v>
      </c>
      <c r="E374" t="s">
        <v>213</v>
      </c>
      <c r="F374">
        <v>18.977</v>
      </c>
      <c r="G374" s="2"/>
    </row>
    <row r="375" spans="1:7" ht="17" hidden="1" customHeight="1" x14ac:dyDescent="0.2">
      <c r="A375" t="s">
        <v>129</v>
      </c>
      <c r="B375" t="s">
        <v>33</v>
      </c>
      <c r="C375" t="s">
        <v>55</v>
      </c>
      <c r="D375" s="1" t="s">
        <v>143</v>
      </c>
      <c r="E375" t="s">
        <v>213</v>
      </c>
      <c r="F375">
        <v>15.157999999999999</v>
      </c>
      <c r="G375" s="2"/>
    </row>
    <row r="376" spans="1:7" ht="17" hidden="1" customHeight="1" x14ac:dyDescent="0.2">
      <c r="A376" t="s">
        <v>129</v>
      </c>
      <c r="B376" t="s">
        <v>33</v>
      </c>
      <c r="C376" t="s">
        <v>58</v>
      </c>
      <c r="D376" s="1" t="s">
        <v>144</v>
      </c>
      <c r="E376" t="s">
        <v>213</v>
      </c>
      <c r="F376">
        <v>18.417999999999999</v>
      </c>
      <c r="G376" s="2"/>
    </row>
    <row r="377" spans="1:7" ht="17" hidden="1" customHeight="1" x14ac:dyDescent="0.2">
      <c r="A377" t="s">
        <v>129</v>
      </c>
      <c r="B377" t="s">
        <v>33</v>
      </c>
      <c r="C377" t="s">
        <v>61</v>
      </c>
      <c r="D377" s="1" t="s">
        <v>145</v>
      </c>
      <c r="E377" t="s">
        <v>213</v>
      </c>
      <c r="F377">
        <v>13.51</v>
      </c>
      <c r="G377" s="2"/>
    </row>
    <row r="378" spans="1:7" ht="17" hidden="1" customHeight="1" x14ac:dyDescent="0.2">
      <c r="A378" t="s">
        <v>129</v>
      </c>
      <c r="B378" t="s">
        <v>64</v>
      </c>
      <c r="C378" t="s">
        <v>65</v>
      </c>
      <c r="D378" s="1" t="s">
        <v>146</v>
      </c>
      <c r="E378" t="s">
        <v>213</v>
      </c>
      <c r="F378">
        <v>9.7539999999999996</v>
      </c>
      <c r="G378" s="2"/>
    </row>
    <row r="379" spans="1:7" ht="17" hidden="1" customHeight="1" x14ac:dyDescent="0.2">
      <c r="A379" t="s">
        <v>129</v>
      </c>
      <c r="B379" t="s">
        <v>64</v>
      </c>
      <c r="C379" t="s">
        <v>68</v>
      </c>
      <c r="D379" s="1" t="s">
        <v>147</v>
      </c>
      <c r="E379" t="s">
        <v>213</v>
      </c>
      <c r="F379">
        <v>11.792</v>
      </c>
      <c r="G379" s="2"/>
    </row>
    <row r="380" spans="1:7" ht="17" hidden="1" customHeight="1" x14ac:dyDescent="0.2">
      <c r="A380" t="s">
        <v>129</v>
      </c>
      <c r="B380" t="s">
        <v>64</v>
      </c>
      <c r="C380" t="s">
        <v>71</v>
      </c>
      <c r="D380" s="1" t="s">
        <v>148</v>
      </c>
      <c r="E380" t="s">
        <v>213</v>
      </c>
      <c r="F380">
        <v>19.407</v>
      </c>
      <c r="G380" s="2"/>
    </row>
    <row r="381" spans="1:7" ht="17" hidden="1" customHeight="1" x14ac:dyDescent="0.2">
      <c r="A381" t="s">
        <v>129</v>
      </c>
      <c r="B381" t="s">
        <v>64</v>
      </c>
      <c r="C381" t="s">
        <v>74</v>
      </c>
      <c r="D381" s="1" t="s">
        <v>149</v>
      </c>
      <c r="E381" t="s">
        <v>213</v>
      </c>
      <c r="F381">
        <v>14.798999999999999</v>
      </c>
      <c r="G381" s="2"/>
    </row>
    <row r="382" spans="1:7" ht="17" hidden="1" customHeight="1" x14ac:dyDescent="0.2">
      <c r="A382" t="s">
        <v>129</v>
      </c>
      <c r="B382" t="s">
        <v>64</v>
      </c>
      <c r="C382" t="s">
        <v>77</v>
      </c>
      <c r="D382" s="1" t="s">
        <v>150</v>
      </c>
      <c r="E382" t="s">
        <v>213</v>
      </c>
      <c r="F382">
        <v>11.849</v>
      </c>
      <c r="G382" s="2"/>
    </row>
    <row r="383" spans="1:7" ht="17" hidden="1" customHeight="1" x14ac:dyDescent="0.2">
      <c r="A383" t="s">
        <v>129</v>
      </c>
      <c r="B383" t="s">
        <v>80</v>
      </c>
      <c r="C383" t="s">
        <v>81</v>
      </c>
      <c r="D383" s="1" t="s">
        <v>151</v>
      </c>
      <c r="E383" t="s">
        <v>213</v>
      </c>
      <c r="F383">
        <v>17.648</v>
      </c>
      <c r="G383" s="2"/>
    </row>
    <row r="384" spans="1:7" ht="17" hidden="1" customHeight="1" x14ac:dyDescent="0.2">
      <c r="A384" t="s">
        <v>129</v>
      </c>
      <c r="B384" t="s">
        <v>80</v>
      </c>
      <c r="C384" t="s">
        <v>84</v>
      </c>
      <c r="D384" s="1" t="s">
        <v>152</v>
      </c>
      <c r="E384" t="s">
        <v>213</v>
      </c>
      <c r="F384">
        <v>14.805999999999999</v>
      </c>
      <c r="G384" s="2"/>
    </row>
    <row r="385" spans="1:7" ht="17" hidden="1" customHeight="1" x14ac:dyDescent="0.2">
      <c r="A385" t="s">
        <v>129</v>
      </c>
      <c r="B385" t="s">
        <v>80</v>
      </c>
      <c r="C385" t="s">
        <v>87</v>
      </c>
      <c r="D385" s="1" t="s">
        <v>153</v>
      </c>
      <c r="E385" t="s">
        <v>213</v>
      </c>
      <c r="F385">
        <v>17.548999999999999</v>
      </c>
      <c r="G385" s="2"/>
    </row>
    <row r="386" spans="1:7" ht="17" hidden="1" customHeight="1" x14ac:dyDescent="0.2">
      <c r="A386" t="s">
        <v>129</v>
      </c>
      <c r="B386" t="s">
        <v>80</v>
      </c>
      <c r="C386" t="s">
        <v>90</v>
      </c>
      <c r="D386" s="1" t="s">
        <v>154</v>
      </c>
      <c r="E386" t="s">
        <v>213</v>
      </c>
      <c r="F386">
        <v>16.928000000000001</v>
      </c>
      <c r="G386" s="2"/>
    </row>
    <row r="387" spans="1:7" ht="17" hidden="1" customHeight="1" x14ac:dyDescent="0.2">
      <c r="A387" t="s">
        <v>129</v>
      </c>
      <c r="B387" t="s">
        <v>80</v>
      </c>
      <c r="C387" t="s">
        <v>93</v>
      </c>
      <c r="D387" s="1" t="s">
        <v>155</v>
      </c>
      <c r="E387" t="s">
        <v>213</v>
      </c>
      <c r="F387">
        <v>13.718999999999999</v>
      </c>
      <c r="G387" s="2"/>
    </row>
    <row r="388" spans="1:7" ht="17" hidden="1" customHeight="1" x14ac:dyDescent="0.2">
      <c r="A388" t="s">
        <v>129</v>
      </c>
      <c r="B388" t="s">
        <v>80</v>
      </c>
      <c r="C388" t="s">
        <v>96</v>
      </c>
      <c r="D388" s="1" t="s">
        <v>156</v>
      </c>
      <c r="E388" t="s">
        <v>213</v>
      </c>
      <c r="F388">
        <v>15.872</v>
      </c>
      <c r="G388" s="2"/>
    </row>
    <row r="389" spans="1:7" ht="17" hidden="1" customHeight="1" x14ac:dyDescent="0.2">
      <c r="A389" t="s">
        <v>129</v>
      </c>
      <c r="B389" t="s">
        <v>80</v>
      </c>
      <c r="C389" t="s">
        <v>99</v>
      </c>
      <c r="D389" s="1" t="s">
        <v>157</v>
      </c>
      <c r="E389" t="s">
        <v>213</v>
      </c>
      <c r="F389">
        <v>16.352</v>
      </c>
      <c r="G389" s="2"/>
    </row>
    <row r="390" spans="1:7" ht="17" hidden="1" customHeight="1" x14ac:dyDescent="0.2">
      <c r="A390" t="s">
        <v>129</v>
      </c>
      <c r="B390" t="s">
        <v>80</v>
      </c>
      <c r="C390" t="s">
        <v>102</v>
      </c>
      <c r="D390" s="1" t="s">
        <v>158</v>
      </c>
      <c r="E390" t="s">
        <v>213</v>
      </c>
      <c r="F390">
        <v>10.022</v>
      </c>
      <c r="G390" s="2"/>
    </row>
    <row r="391" spans="1:7" ht="17" hidden="1" customHeight="1" x14ac:dyDescent="0.2">
      <c r="A391" t="s">
        <v>129</v>
      </c>
      <c r="B391" t="s">
        <v>105</v>
      </c>
      <c r="C391" t="s">
        <v>106</v>
      </c>
      <c r="D391" s="1" t="s">
        <v>159</v>
      </c>
      <c r="E391" t="s">
        <v>213</v>
      </c>
      <c r="F391">
        <v>12.548999999999999</v>
      </c>
      <c r="G391" s="2"/>
    </row>
    <row r="392" spans="1:7" ht="17" hidden="1" customHeight="1" x14ac:dyDescent="0.2">
      <c r="A392" t="s">
        <v>129</v>
      </c>
      <c r="B392" t="s">
        <v>105</v>
      </c>
      <c r="C392" t="s">
        <v>109</v>
      </c>
      <c r="D392" s="1" t="s">
        <v>160</v>
      </c>
      <c r="E392" t="s">
        <v>213</v>
      </c>
      <c r="F392">
        <v>12.548</v>
      </c>
      <c r="G392" s="2"/>
    </row>
    <row r="393" spans="1:7" ht="17" hidden="1" customHeight="1" x14ac:dyDescent="0.2">
      <c r="A393" t="s">
        <v>129</v>
      </c>
      <c r="B393" t="s">
        <v>105</v>
      </c>
      <c r="C393" t="s">
        <v>112</v>
      </c>
      <c r="D393" s="1" t="s">
        <v>161</v>
      </c>
      <c r="E393" t="s">
        <v>213</v>
      </c>
      <c r="F393">
        <v>17.989000000000001</v>
      </c>
      <c r="G393" s="2"/>
    </row>
    <row r="394" spans="1:7" ht="17" hidden="1" customHeight="1" x14ac:dyDescent="0.2">
      <c r="A394" t="s">
        <v>129</v>
      </c>
      <c r="B394" t="s">
        <v>105</v>
      </c>
      <c r="C394" t="s">
        <v>115</v>
      </c>
      <c r="D394" s="1" t="s">
        <v>162</v>
      </c>
      <c r="E394" t="s">
        <v>213</v>
      </c>
      <c r="F394">
        <v>11.631</v>
      </c>
      <c r="G394" s="2"/>
    </row>
    <row r="395" spans="1:7" ht="17" hidden="1" customHeight="1" x14ac:dyDescent="0.2">
      <c r="A395" t="s">
        <v>129</v>
      </c>
      <c r="B395" t="s">
        <v>105</v>
      </c>
      <c r="C395" t="s">
        <v>118</v>
      </c>
      <c r="D395" s="1" t="s">
        <v>163</v>
      </c>
      <c r="E395" t="s">
        <v>213</v>
      </c>
      <c r="F395">
        <v>16.184000000000001</v>
      </c>
      <c r="G395" s="2"/>
    </row>
    <row r="396" spans="1:7" ht="17" hidden="1" customHeight="1" x14ac:dyDescent="0.2">
      <c r="A396" t="s">
        <v>129</v>
      </c>
      <c r="B396" t="s">
        <v>121</v>
      </c>
      <c r="C396" t="s">
        <v>122</v>
      </c>
      <c r="D396" s="1" t="s">
        <v>164</v>
      </c>
      <c r="E396" t="s">
        <v>213</v>
      </c>
      <c r="F396">
        <v>17.407</v>
      </c>
      <c r="G396" s="2"/>
    </row>
    <row r="397" spans="1:7" ht="17" hidden="1" customHeight="1" x14ac:dyDescent="0.2">
      <c r="A397" t="s">
        <v>129</v>
      </c>
      <c r="B397" t="s">
        <v>121</v>
      </c>
      <c r="C397" t="s">
        <v>125</v>
      </c>
      <c r="D397" s="1" t="s">
        <v>165</v>
      </c>
      <c r="E397" t="s">
        <v>213</v>
      </c>
      <c r="F397">
        <v>15.763999999999999</v>
      </c>
      <c r="G397" s="2"/>
    </row>
    <row r="398" spans="1:7" ht="17" hidden="1" customHeight="1" x14ac:dyDescent="0.2">
      <c r="A398" t="s">
        <v>167</v>
      </c>
      <c r="B398" t="s">
        <v>14</v>
      </c>
      <c r="C398" t="s">
        <v>15</v>
      </c>
      <c r="D398" s="1" t="s">
        <v>168</v>
      </c>
      <c r="E398" t="s">
        <v>213</v>
      </c>
      <c r="F398">
        <v>13.936999999999999</v>
      </c>
      <c r="G398" s="2"/>
    </row>
    <row r="399" spans="1:7" ht="17" hidden="1" customHeight="1" x14ac:dyDescent="0.2">
      <c r="A399" t="s">
        <v>167</v>
      </c>
      <c r="B399" t="s">
        <v>14</v>
      </c>
      <c r="C399" t="s">
        <v>18</v>
      </c>
      <c r="D399" s="1" t="s">
        <v>169</v>
      </c>
      <c r="E399" t="s">
        <v>213</v>
      </c>
      <c r="F399">
        <v>16.561</v>
      </c>
      <c r="G399" s="2"/>
    </row>
    <row r="400" spans="1:7" ht="17" hidden="1" customHeight="1" x14ac:dyDescent="0.2">
      <c r="A400" t="s">
        <v>167</v>
      </c>
      <c r="B400" t="s">
        <v>14</v>
      </c>
      <c r="C400" t="s">
        <v>21</v>
      </c>
      <c r="D400" s="1" t="s">
        <v>170</v>
      </c>
      <c r="E400" t="s">
        <v>213</v>
      </c>
      <c r="F400">
        <v>14.542999999999999</v>
      </c>
      <c r="G400" s="2"/>
    </row>
    <row r="401" spans="1:7" ht="17" hidden="1" customHeight="1" x14ac:dyDescent="0.2">
      <c r="A401" t="s">
        <v>167</v>
      </c>
      <c r="B401" t="s">
        <v>14</v>
      </c>
      <c r="C401" t="s">
        <v>24</v>
      </c>
      <c r="D401" s="1" t="s">
        <v>171</v>
      </c>
      <c r="E401" t="s">
        <v>213</v>
      </c>
      <c r="F401">
        <v>13.148999999999999</v>
      </c>
      <c r="G401" s="2"/>
    </row>
    <row r="402" spans="1:7" ht="17" hidden="1" customHeight="1" x14ac:dyDescent="0.2">
      <c r="A402" t="s">
        <v>167</v>
      </c>
      <c r="B402" t="s">
        <v>14</v>
      </c>
      <c r="C402" t="s">
        <v>27</v>
      </c>
      <c r="D402" s="1" t="s">
        <v>172</v>
      </c>
      <c r="E402" t="s">
        <v>213</v>
      </c>
      <c r="F402">
        <v>19.384</v>
      </c>
      <c r="G402" s="2"/>
    </row>
    <row r="403" spans="1:7" ht="17" hidden="1" customHeight="1" x14ac:dyDescent="0.2">
      <c r="A403" t="s">
        <v>167</v>
      </c>
      <c r="B403" t="s">
        <v>14</v>
      </c>
      <c r="C403" t="s">
        <v>30</v>
      </c>
      <c r="D403" s="1" t="s">
        <v>173</v>
      </c>
      <c r="E403" t="s">
        <v>213</v>
      </c>
      <c r="F403">
        <v>18.882999999999999</v>
      </c>
      <c r="G403" s="2"/>
    </row>
    <row r="404" spans="1:7" ht="17" hidden="1" customHeight="1" x14ac:dyDescent="0.2">
      <c r="A404" t="s">
        <v>167</v>
      </c>
      <c r="B404" t="s">
        <v>33</v>
      </c>
      <c r="C404" t="s">
        <v>34</v>
      </c>
      <c r="D404" s="1" t="s">
        <v>174</v>
      </c>
      <c r="E404" t="s">
        <v>213</v>
      </c>
      <c r="F404">
        <v>16.876000000000001</v>
      </c>
      <c r="G404" s="2"/>
    </row>
    <row r="405" spans="1:7" ht="17" hidden="1" customHeight="1" x14ac:dyDescent="0.2">
      <c r="A405" t="s">
        <v>167</v>
      </c>
      <c r="B405" t="s">
        <v>33</v>
      </c>
      <c r="C405" t="s">
        <v>37</v>
      </c>
      <c r="D405" s="1" t="s">
        <v>175</v>
      </c>
      <c r="E405" t="s">
        <v>213</v>
      </c>
      <c r="F405">
        <v>11.34</v>
      </c>
      <c r="G405" s="2"/>
    </row>
    <row r="406" spans="1:7" ht="17" hidden="1" customHeight="1" x14ac:dyDescent="0.2">
      <c r="A406" t="s">
        <v>167</v>
      </c>
      <c r="B406" t="s">
        <v>33</v>
      </c>
      <c r="C406" t="s">
        <v>40</v>
      </c>
      <c r="D406" s="1" t="s">
        <v>176</v>
      </c>
      <c r="E406" t="s">
        <v>213</v>
      </c>
      <c r="F406">
        <v>16.695</v>
      </c>
      <c r="G406" s="2"/>
    </row>
    <row r="407" spans="1:7" ht="17" hidden="1" customHeight="1" x14ac:dyDescent="0.2">
      <c r="A407" t="s">
        <v>167</v>
      </c>
      <c r="B407" t="s">
        <v>33</v>
      </c>
      <c r="C407" t="s">
        <v>43</v>
      </c>
      <c r="D407" s="1" t="s">
        <v>177</v>
      </c>
      <c r="E407" t="s">
        <v>213</v>
      </c>
      <c r="F407">
        <v>18.155000000000001</v>
      </c>
      <c r="G407" s="2"/>
    </row>
    <row r="408" spans="1:7" ht="17" hidden="1" customHeight="1" x14ac:dyDescent="0.2">
      <c r="A408" t="s">
        <v>167</v>
      </c>
      <c r="B408" t="s">
        <v>33</v>
      </c>
      <c r="C408" t="s">
        <v>46</v>
      </c>
      <c r="D408" s="1" t="s">
        <v>178</v>
      </c>
      <c r="E408" t="s">
        <v>213</v>
      </c>
      <c r="F408">
        <v>17.509</v>
      </c>
      <c r="G408" s="2"/>
    </row>
    <row r="409" spans="1:7" ht="17" hidden="1" customHeight="1" x14ac:dyDescent="0.2">
      <c r="A409" t="s">
        <v>167</v>
      </c>
      <c r="B409" t="s">
        <v>33</v>
      </c>
      <c r="C409" t="s">
        <v>49</v>
      </c>
      <c r="D409" s="1" t="s">
        <v>179</v>
      </c>
      <c r="E409" t="s">
        <v>213</v>
      </c>
      <c r="F409">
        <v>15.747999999999999</v>
      </c>
      <c r="G409" s="2"/>
    </row>
    <row r="410" spans="1:7" ht="17" hidden="1" customHeight="1" x14ac:dyDescent="0.2">
      <c r="A410" t="s">
        <v>167</v>
      </c>
      <c r="B410" t="s">
        <v>33</v>
      </c>
      <c r="C410" t="s">
        <v>52</v>
      </c>
      <c r="D410" s="1" t="s">
        <v>180</v>
      </c>
      <c r="E410" t="s">
        <v>213</v>
      </c>
      <c r="F410">
        <v>15.007999999999999</v>
      </c>
      <c r="G410" s="2"/>
    </row>
    <row r="411" spans="1:7" ht="17" hidden="1" customHeight="1" x14ac:dyDescent="0.2">
      <c r="A411" t="s">
        <v>167</v>
      </c>
      <c r="B411" t="s">
        <v>33</v>
      </c>
      <c r="C411" t="s">
        <v>55</v>
      </c>
      <c r="D411" s="1" t="s">
        <v>181</v>
      </c>
      <c r="E411" t="s">
        <v>213</v>
      </c>
      <c r="F411">
        <v>16.146000000000001</v>
      </c>
      <c r="G411" s="2"/>
    </row>
    <row r="412" spans="1:7" ht="17" hidden="1" customHeight="1" x14ac:dyDescent="0.2">
      <c r="A412" t="s">
        <v>167</v>
      </c>
      <c r="B412" t="s">
        <v>33</v>
      </c>
      <c r="C412" t="s">
        <v>58</v>
      </c>
      <c r="D412" s="1" t="s">
        <v>182</v>
      </c>
      <c r="E412" t="s">
        <v>213</v>
      </c>
      <c r="F412">
        <v>20.571000000000002</v>
      </c>
      <c r="G412" s="2"/>
    </row>
    <row r="413" spans="1:7" ht="17" hidden="1" customHeight="1" x14ac:dyDescent="0.2">
      <c r="A413" t="s">
        <v>167</v>
      </c>
      <c r="B413" t="s">
        <v>33</v>
      </c>
      <c r="C413" t="s">
        <v>61</v>
      </c>
      <c r="D413" s="1" t="s">
        <v>183</v>
      </c>
      <c r="E413" t="s">
        <v>213</v>
      </c>
      <c r="F413">
        <v>15.391999999999999</v>
      </c>
      <c r="G413" s="2"/>
    </row>
    <row r="414" spans="1:7" ht="17" hidden="1" customHeight="1" x14ac:dyDescent="0.2">
      <c r="A414" t="s">
        <v>167</v>
      </c>
      <c r="B414" t="s">
        <v>64</v>
      </c>
      <c r="C414" t="s">
        <v>65</v>
      </c>
      <c r="D414" s="1" t="s">
        <v>184</v>
      </c>
      <c r="E414" t="s">
        <v>213</v>
      </c>
      <c r="F414">
        <v>12.146000000000001</v>
      </c>
      <c r="G414" s="2"/>
    </row>
    <row r="415" spans="1:7" ht="17" hidden="1" customHeight="1" x14ac:dyDescent="0.2">
      <c r="A415" t="s">
        <v>167</v>
      </c>
      <c r="B415" t="s">
        <v>64</v>
      </c>
      <c r="C415" t="s">
        <v>68</v>
      </c>
      <c r="D415" s="1" t="s">
        <v>185</v>
      </c>
      <c r="E415" t="s">
        <v>213</v>
      </c>
      <c r="F415">
        <v>14.087</v>
      </c>
      <c r="G415" s="2"/>
    </row>
    <row r="416" spans="1:7" ht="17" hidden="1" customHeight="1" x14ac:dyDescent="0.2">
      <c r="A416" t="s">
        <v>167</v>
      </c>
      <c r="B416" t="s">
        <v>64</v>
      </c>
      <c r="C416" t="s">
        <v>71</v>
      </c>
      <c r="D416" s="1" t="s">
        <v>186</v>
      </c>
      <c r="E416" t="s">
        <v>213</v>
      </c>
      <c r="F416">
        <v>17.128</v>
      </c>
      <c r="G416" s="2"/>
    </row>
    <row r="417" spans="1:7" ht="17" hidden="1" customHeight="1" x14ac:dyDescent="0.2">
      <c r="A417" t="s">
        <v>167</v>
      </c>
      <c r="B417" t="s">
        <v>64</v>
      </c>
      <c r="C417" t="s">
        <v>74</v>
      </c>
      <c r="D417" s="1" t="s">
        <v>187</v>
      </c>
      <c r="E417" t="s">
        <v>213</v>
      </c>
      <c r="F417">
        <v>20.486000000000001</v>
      </c>
      <c r="G417" s="2"/>
    </row>
    <row r="418" spans="1:7" ht="17" hidden="1" customHeight="1" x14ac:dyDescent="0.2">
      <c r="A418" t="s">
        <v>167</v>
      </c>
      <c r="B418" t="s">
        <v>64</v>
      </c>
      <c r="C418" t="s">
        <v>77</v>
      </c>
      <c r="D418" s="1" t="s">
        <v>188</v>
      </c>
      <c r="E418" t="s">
        <v>213</v>
      </c>
      <c r="F418">
        <v>17.771000000000001</v>
      </c>
      <c r="G418" s="2"/>
    </row>
    <row r="419" spans="1:7" ht="17" hidden="1" customHeight="1" x14ac:dyDescent="0.2">
      <c r="A419" t="s">
        <v>167</v>
      </c>
      <c r="B419" t="s">
        <v>80</v>
      </c>
      <c r="C419" t="s">
        <v>81</v>
      </c>
      <c r="D419" s="1" t="s">
        <v>189</v>
      </c>
      <c r="E419" t="s">
        <v>213</v>
      </c>
      <c r="F419">
        <v>15.4</v>
      </c>
      <c r="G419" s="2"/>
    </row>
    <row r="420" spans="1:7" ht="17" hidden="1" customHeight="1" x14ac:dyDescent="0.2">
      <c r="A420" t="s">
        <v>167</v>
      </c>
      <c r="B420" t="s">
        <v>80</v>
      </c>
      <c r="C420" t="s">
        <v>84</v>
      </c>
      <c r="D420" s="1" t="s">
        <v>190</v>
      </c>
      <c r="E420" t="s">
        <v>213</v>
      </c>
      <c r="F420">
        <v>21.501000000000001</v>
      </c>
      <c r="G420" s="2"/>
    </row>
    <row r="421" spans="1:7" ht="17" hidden="1" customHeight="1" x14ac:dyDescent="0.2">
      <c r="A421" t="s">
        <v>167</v>
      </c>
      <c r="B421" t="s">
        <v>80</v>
      </c>
      <c r="C421" t="s">
        <v>87</v>
      </c>
      <c r="D421" s="1" t="s">
        <v>191</v>
      </c>
      <c r="E421" t="s">
        <v>213</v>
      </c>
      <c r="F421">
        <v>15.089</v>
      </c>
      <c r="G421" s="2"/>
    </row>
    <row r="422" spans="1:7" ht="17" hidden="1" customHeight="1" x14ac:dyDescent="0.2">
      <c r="A422" t="s">
        <v>167</v>
      </c>
      <c r="B422" t="s">
        <v>80</v>
      </c>
      <c r="C422" t="s">
        <v>90</v>
      </c>
      <c r="D422" s="1" t="s">
        <v>192</v>
      </c>
      <c r="E422" t="s">
        <v>213</v>
      </c>
      <c r="F422">
        <v>14.034000000000001</v>
      </c>
      <c r="G422" s="2"/>
    </row>
    <row r="423" spans="1:7" ht="17" hidden="1" customHeight="1" x14ac:dyDescent="0.2">
      <c r="A423" t="s">
        <v>167</v>
      </c>
      <c r="B423" t="s">
        <v>80</v>
      </c>
      <c r="C423" t="s">
        <v>93</v>
      </c>
      <c r="D423" s="1" t="s">
        <v>193</v>
      </c>
      <c r="E423" t="s">
        <v>213</v>
      </c>
      <c r="F423">
        <v>17.521000000000001</v>
      </c>
      <c r="G423" s="2"/>
    </row>
    <row r="424" spans="1:7" ht="17" hidden="1" customHeight="1" x14ac:dyDescent="0.2">
      <c r="A424" t="s">
        <v>167</v>
      </c>
      <c r="B424" t="s">
        <v>80</v>
      </c>
      <c r="C424" t="s">
        <v>96</v>
      </c>
      <c r="D424" s="1" t="s">
        <v>194</v>
      </c>
      <c r="E424" t="s">
        <v>213</v>
      </c>
      <c r="F424">
        <v>32.761000000000003</v>
      </c>
      <c r="G424" s="2"/>
    </row>
    <row r="425" spans="1:7" ht="17" hidden="1" customHeight="1" x14ac:dyDescent="0.2">
      <c r="A425" t="s">
        <v>167</v>
      </c>
      <c r="B425" t="s">
        <v>80</v>
      </c>
      <c r="C425" t="s">
        <v>99</v>
      </c>
      <c r="D425" s="1" t="s">
        <v>195</v>
      </c>
      <c r="E425" t="s">
        <v>213</v>
      </c>
      <c r="F425">
        <v>14.981999999999999</v>
      </c>
      <c r="G425" s="2"/>
    </row>
    <row r="426" spans="1:7" ht="17" hidden="1" customHeight="1" x14ac:dyDescent="0.2">
      <c r="A426" t="s">
        <v>167</v>
      </c>
      <c r="B426" t="s">
        <v>80</v>
      </c>
      <c r="C426" t="s">
        <v>102</v>
      </c>
      <c r="D426" s="1" t="s">
        <v>196</v>
      </c>
      <c r="E426" t="s">
        <v>213</v>
      </c>
      <c r="F426">
        <v>14.436</v>
      </c>
      <c r="G426" s="2"/>
    </row>
    <row r="427" spans="1:7" ht="17" hidden="1" customHeight="1" x14ac:dyDescent="0.2">
      <c r="A427" t="s">
        <v>167</v>
      </c>
      <c r="B427" t="s">
        <v>105</v>
      </c>
      <c r="C427" t="s">
        <v>106</v>
      </c>
      <c r="D427" s="1" t="s">
        <v>197</v>
      </c>
      <c r="E427" t="s">
        <v>213</v>
      </c>
      <c r="F427">
        <v>12.244</v>
      </c>
      <c r="G427" s="2"/>
    </row>
    <row r="428" spans="1:7" ht="17" hidden="1" customHeight="1" x14ac:dyDescent="0.2">
      <c r="A428" t="s">
        <v>167</v>
      </c>
      <c r="B428" t="s">
        <v>105</v>
      </c>
      <c r="C428" t="s">
        <v>109</v>
      </c>
      <c r="D428" s="1" t="s">
        <v>198</v>
      </c>
      <c r="E428" t="s">
        <v>213</v>
      </c>
      <c r="F428">
        <v>12.406000000000001</v>
      </c>
      <c r="G428" s="2"/>
    </row>
    <row r="429" spans="1:7" ht="17" hidden="1" customHeight="1" x14ac:dyDescent="0.2">
      <c r="A429" t="s">
        <v>167</v>
      </c>
      <c r="B429" t="s">
        <v>105</v>
      </c>
      <c r="C429" t="s">
        <v>112</v>
      </c>
      <c r="D429" s="1" t="s">
        <v>199</v>
      </c>
      <c r="E429" t="s">
        <v>213</v>
      </c>
      <c r="F429">
        <v>16.145</v>
      </c>
      <c r="G429" s="2"/>
    </row>
    <row r="430" spans="1:7" ht="17" hidden="1" customHeight="1" x14ac:dyDescent="0.2">
      <c r="A430" t="s">
        <v>167</v>
      </c>
      <c r="B430" t="s">
        <v>105</v>
      </c>
      <c r="C430" t="s">
        <v>115</v>
      </c>
      <c r="D430" s="1" t="s">
        <v>200</v>
      </c>
      <c r="E430" t="s">
        <v>213</v>
      </c>
      <c r="F430">
        <v>19.649000000000001</v>
      </c>
      <c r="G430" s="2"/>
    </row>
    <row r="431" spans="1:7" ht="17" hidden="1" customHeight="1" x14ac:dyDescent="0.2">
      <c r="A431" t="s">
        <v>167</v>
      </c>
      <c r="B431" t="s">
        <v>105</v>
      </c>
      <c r="C431" t="s">
        <v>118</v>
      </c>
      <c r="D431" s="1" t="s">
        <v>201</v>
      </c>
      <c r="E431" t="s">
        <v>213</v>
      </c>
      <c r="F431">
        <v>16.364000000000001</v>
      </c>
      <c r="G431" s="2"/>
    </row>
    <row r="432" spans="1:7" ht="17" hidden="1" customHeight="1" x14ac:dyDescent="0.2">
      <c r="A432" t="s">
        <v>167</v>
      </c>
      <c r="B432" t="s">
        <v>121</v>
      </c>
      <c r="C432" t="s">
        <v>122</v>
      </c>
      <c r="D432" s="1" t="s">
        <v>202</v>
      </c>
      <c r="E432" t="s">
        <v>213</v>
      </c>
      <c r="F432">
        <v>26.047999999999998</v>
      </c>
      <c r="G432" s="2"/>
    </row>
    <row r="433" spans="1:7" ht="17" hidden="1" customHeight="1" x14ac:dyDescent="0.2">
      <c r="A433" t="s">
        <v>167</v>
      </c>
      <c r="B433" t="s">
        <v>121</v>
      </c>
      <c r="C433" t="s">
        <v>125</v>
      </c>
      <c r="D433" s="1" t="s">
        <v>203</v>
      </c>
      <c r="E433" t="s">
        <v>213</v>
      </c>
      <c r="F433">
        <v>58.32</v>
      </c>
      <c r="G433" s="2"/>
    </row>
    <row r="434" spans="1:7" ht="17" hidden="1" customHeight="1" x14ac:dyDescent="0.2">
      <c r="A434" t="s">
        <v>366</v>
      </c>
      <c r="B434" t="s">
        <v>14</v>
      </c>
      <c r="C434" t="s">
        <v>15</v>
      </c>
      <c r="E434" t="s">
        <v>210</v>
      </c>
      <c r="F434">
        <v>13.023999999999999</v>
      </c>
    </row>
    <row r="435" spans="1:7" ht="17" hidden="1" customHeight="1" x14ac:dyDescent="0.2">
      <c r="A435" t="s">
        <v>366</v>
      </c>
      <c r="B435" t="s">
        <v>14</v>
      </c>
      <c r="C435" t="s">
        <v>18</v>
      </c>
      <c r="E435" t="s">
        <v>210</v>
      </c>
      <c r="F435">
        <v>15.903</v>
      </c>
    </row>
    <row r="436" spans="1:7" ht="17" hidden="1" customHeight="1" x14ac:dyDescent="0.2">
      <c r="A436" t="s">
        <v>366</v>
      </c>
      <c r="B436" t="s">
        <v>14</v>
      </c>
      <c r="C436" t="s">
        <v>21</v>
      </c>
      <c r="E436" t="s">
        <v>210</v>
      </c>
      <c r="F436">
        <v>13.023999999999999</v>
      </c>
    </row>
    <row r="437" spans="1:7" ht="17" hidden="1" customHeight="1" x14ac:dyDescent="0.2">
      <c r="A437" t="s">
        <v>366</v>
      </c>
      <c r="B437" t="s">
        <v>14</v>
      </c>
      <c r="C437" t="s">
        <v>24</v>
      </c>
      <c r="E437" t="s">
        <v>210</v>
      </c>
      <c r="F437">
        <v>6.4269999999999996</v>
      </c>
    </row>
    <row r="438" spans="1:7" ht="17" hidden="1" customHeight="1" x14ac:dyDescent="0.2">
      <c r="A438" t="s">
        <v>366</v>
      </c>
      <c r="B438" t="s">
        <v>14</v>
      </c>
      <c r="C438" t="s">
        <v>27</v>
      </c>
      <c r="E438" t="s">
        <v>210</v>
      </c>
      <c r="F438">
        <v>13.023999999999999</v>
      </c>
    </row>
    <row r="439" spans="1:7" ht="17" hidden="1" customHeight="1" x14ac:dyDescent="0.2">
      <c r="A439" t="s">
        <v>366</v>
      </c>
      <c r="B439" t="s">
        <v>14</v>
      </c>
      <c r="C439" t="s">
        <v>30</v>
      </c>
      <c r="E439" t="s">
        <v>210</v>
      </c>
      <c r="F439">
        <v>15.58</v>
      </c>
    </row>
    <row r="440" spans="1:7" ht="17" hidden="1" customHeight="1" x14ac:dyDescent="0.2">
      <c r="A440" t="s">
        <v>366</v>
      </c>
      <c r="B440" t="s">
        <v>33</v>
      </c>
      <c r="C440" t="s">
        <v>34</v>
      </c>
      <c r="E440" t="s">
        <v>210</v>
      </c>
      <c r="F440">
        <v>13.428000000000001</v>
      </c>
    </row>
    <row r="441" spans="1:7" ht="17" hidden="1" customHeight="1" x14ac:dyDescent="0.2">
      <c r="A441" t="s">
        <v>366</v>
      </c>
      <c r="B441" t="s">
        <v>33</v>
      </c>
      <c r="C441" t="s">
        <v>37</v>
      </c>
      <c r="E441" t="s">
        <v>210</v>
      </c>
      <c r="F441">
        <v>14.868</v>
      </c>
    </row>
    <row r="442" spans="1:7" ht="17" hidden="1" customHeight="1" x14ac:dyDescent="0.2">
      <c r="A442" t="s">
        <v>366</v>
      </c>
      <c r="B442" t="s">
        <v>33</v>
      </c>
      <c r="C442" t="s">
        <v>40</v>
      </c>
      <c r="E442" t="s">
        <v>210</v>
      </c>
      <c r="F442">
        <v>15.247999999999999</v>
      </c>
    </row>
    <row r="443" spans="1:7" ht="17" hidden="1" customHeight="1" x14ac:dyDescent="0.2">
      <c r="A443" t="s">
        <v>366</v>
      </c>
      <c r="B443" t="s">
        <v>33</v>
      </c>
      <c r="C443" t="s">
        <v>43</v>
      </c>
      <c r="E443" t="s">
        <v>210</v>
      </c>
      <c r="F443">
        <v>14.906000000000001</v>
      </c>
    </row>
    <row r="444" spans="1:7" ht="17" hidden="1" customHeight="1" x14ac:dyDescent="0.2">
      <c r="A444" t="s">
        <v>366</v>
      </c>
      <c r="B444" t="s">
        <v>33</v>
      </c>
      <c r="C444" t="s">
        <v>46</v>
      </c>
      <c r="E444" t="s">
        <v>210</v>
      </c>
      <c r="F444">
        <v>19.286999999999999</v>
      </c>
    </row>
    <row r="445" spans="1:7" ht="17" hidden="1" customHeight="1" x14ac:dyDescent="0.2">
      <c r="A445" t="s">
        <v>366</v>
      </c>
      <c r="B445" t="s">
        <v>33</v>
      </c>
      <c r="C445" t="s">
        <v>49</v>
      </c>
      <c r="E445" t="s">
        <v>210</v>
      </c>
      <c r="F445">
        <v>15.903</v>
      </c>
    </row>
    <row r="446" spans="1:7" ht="17" hidden="1" customHeight="1" x14ac:dyDescent="0.2">
      <c r="A446" t="s">
        <v>366</v>
      </c>
      <c r="B446" t="s">
        <v>33</v>
      </c>
      <c r="C446" t="s">
        <v>52</v>
      </c>
      <c r="E446" t="s">
        <v>210</v>
      </c>
      <c r="F446">
        <v>14.731999999999999</v>
      </c>
    </row>
    <row r="447" spans="1:7" ht="17" hidden="1" customHeight="1" x14ac:dyDescent="0.2">
      <c r="A447" t="s">
        <v>366</v>
      </c>
      <c r="B447" t="s">
        <v>33</v>
      </c>
      <c r="C447" t="s">
        <v>55</v>
      </c>
      <c r="E447" t="s">
        <v>210</v>
      </c>
      <c r="F447">
        <v>13.257</v>
      </c>
    </row>
    <row r="448" spans="1:7" ht="17" hidden="1" customHeight="1" x14ac:dyDescent="0.2">
      <c r="A448" t="s">
        <v>366</v>
      </c>
      <c r="B448" t="s">
        <v>33</v>
      </c>
      <c r="C448" t="s">
        <v>58</v>
      </c>
      <c r="E448" t="s">
        <v>210</v>
      </c>
      <c r="F448">
        <v>14.555</v>
      </c>
    </row>
    <row r="449" spans="1:6" ht="17" hidden="1" customHeight="1" x14ac:dyDescent="0.2">
      <c r="A449" t="s">
        <v>366</v>
      </c>
      <c r="B449" t="s">
        <v>33</v>
      </c>
      <c r="C449" t="s">
        <v>61</v>
      </c>
      <c r="E449" t="s">
        <v>210</v>
      </c>
      <c r="F449">
        <v>12.603</v>
      </c>
    </row>
    <row r="450" spans="1:6" ht="17" hidden="1" customHeight="1" x14ac:dyDescent="0.2">
      <c r="A450" t="s">
        <v>366</v>
      </c>
      <c r="B450" t="s">
        <v>64</v>
      </c>
      <c r="C450" t="s">
        <v>65</v>
      </c>
      <c r="E450" t="s">
        <v>210</v>
      </c>
      <c r="F450">
        <v>9.3000000000000007</v>
      </c>
    </row>
    <row r="451" spans="1:6" ht="17" hidden="1" customHeight="1" x14ac:dyDescent="0.2">
      <c r="A451" t="s">
        <v>366</v>
      </c>
      <c r="B451" t="s">
        <v>64</v>
      </c>
      <c r="C451" t="s">
        <v>68</v>
      </c>
      <c r="E451" t="s">
        <v>210</v>
      </c>
      <c r="F451">
        <v>9.7260000000000009</v>
      </c>
    </row>
    <row r="452" spans="1:6" ht="17" hidden="1" customHeight="1" x14ac:dyDescent="0.2">
      <c r="A452" t="s">
        <v>366</v>
      </c>
      <c r="B452" t="s">
        <v>64</v>
      </c>
      <c r="C452" t="s">
        <v>71</v>
      </c>
      <c r="E452" t="s">
        <v>210</v>
      </c>
      <c r="F452">
        <v>10.864000000000001</v>
      </c>
    </row>
    <row r="453" spans="1:6" ht="17" hidden="1" customHeight="1" x14ac:dyDescent="0.2">
      <c r="A453" t="s">
        <v>366</v>
      </c>
      <c r="B453" t="s">
        <v>64</v>
      </c>
      <c r="C453" t="s">
        <v>74</v>
      </c>
      <c r="E453" t="s">
        <v>210</v>
      </c>
      <c r="F453">
        <v>14.068</v>
      </c>
    </row>
    <row r="454" spans="1:6" ht="17" hidden="1" customHeight="1" x14ac:dyDescent="0.2">
      <c r="A454" t="s">
        <v>366</v>
      </c>
      <c r="B454" t="s">
        <v>64</v>
      </c>
      <c r="C454" t="s">
        <v>77</v>
      </c>
      <c r="E454" t="s">
        <v>210</v>
      </c>
      <c r="F454">
        <v>15.903</v>
      </c>
    </row>
    <row r="455" spans="1:6" ht="17" hidden="1" customHeight="1" x14ac:dyDescent="0.2">
      <c r="A455" t="s">
        <v>366</v>
      </c>
      <c r="B455" t="s">
        <v>208</v>
      </c>
      <c r="C455" t="s">
        <v>81</v>
      </c>
      <c r="E455" t="s">
        <v>210</v>
      </c>
      <c r="F455">
        <v>13.817</v>
      </c>
    </row>
    <row r="456" spans="1:6" ht="17" hidden="1" customHeight="1" x14ac:dyDescent="0.2">
      <c r="A456" t="s">
        <v>366</v>
      </c>
      <c r="B456" t="s">
        <v>208</v>
      </c>
      <c r="C456" t="s">
        <v>84</v>
      </c>
      <c r="E456" t="s">
        <v>210</v>
      </c>
      <c r="F456">
        <v>13.968</v>
      </c>
    </row>
    <row r="457" spans="1:6" ht="17" hidden="1" customHeight="1" x14ac:dyDescent="0.2">
      <c r="A457" t="s">
        <v>366</v>
      </c>
      <c r="B457" t="s">
        <v>208</v>
      </c>
      <c r="C457" t="s">
        <v>87</v>
      </c>
      <c r="E457" t="s">
        <v>210</v>
      </c>
      <c r="F457">
        <v>15.903</v>
      </c>
    </row>
    <row r="458" spans="1:6" ht="17" hidden="1" customHeight="1" x14ac:dyDescent="0.2">
      <c r="A458" t="s">
        <v>366</v>
      </c>
      <c r="B458" t="s">
        <v>208</v>
      </c>
      <c r="C458" t="s">
        <v>90</v>
      </c>
      <c r="E458" t="s">
        <v>210</v>
      </c>
      <c r="F458">
        <v>12.603</v>
      </c>
    </row>
    <row r="459" spans="1:6" ht="17" hidden="1" customHeight="1" x14ac:dyDescent="0.2">
      <c r="A459" t="s">
        <v>366</v>
      </c>
      <c r="B459" t="s">
        <v>208</v>
      </c>
      <c r="C459" t="s">
        <v>93</v>
      </c>
      <c r="E459" t="s">
        <v>210</v>
      </c>
      <c r="F459">
        <v>11.492000000000001</v>
      </c>
    </row>
    <row r="460" spans="1:6" ht="17" hidden="1" customHeight="1" x14ac:dyDescent="0.2">
      <c r="A460" t="s">
        <v>366</v>
      </c>
      <c r="B460" t="s">
        <v>208</v>
      </c>
      <c r="C460" t="s">
        <v>96</v>
      </c>
      <c r="E460" t="s">
        <v>210</v>
      </c>
      <c r="F460">
        <v>14.555</v>
      </c>
    </row>
    <row r="461" spans="1:6" ht="17" hidden="1" customHeight="1" x14ac:dyDescent="0.2">
      <c r="A461" t="s">
        <v>366</v>
      </c>
      <c r="B461" t="s">
        <v>208</v>
      </c>
      <c r="C461" t="s">
        <v>99</v>
      </c>
      <c r="E461" t="s">
        <v>210</v>
      </c>
      <c r="F461">
        <v>15.903</v>
      </c>
    </row>
    <row r="462" spans="1:6" ht="17" hidden="1" customHeight="1" x14ac:dyDescent="0.2">
      <c r="A462" t="s">
        <v>366</v>
      </c>
      <c r="B462" t="s">
        <v>208</v>
      </c>
      <c r="C462" t="s">
        <v>102</v>
      </c>
      <c r="E462" t="s">
        <v>210</v>
      </c>
      <c r="F462">
        <v>13.558999999999999</v>
      </c>
    </row>
    <row r="463" spans="1:6" ht="17" hidden="1" customHeight="1" x14ac:dyDescent="0.2">
      <c r="A463" t="s">
        <v>366</v>
      </c>
      <c r="B463" t="s">
        <v>105</v>
      </c>
      <c r="C463" t="s">
        <v>106</v>
      </c>
      <c r="E463" t="s">
        <v>210</v>
      </c>
      <c r="F463">
        <v>14.555</v>
      </c>
    </row>
    <row r="464" spans="1:6" ht="17" hidden="1" customHeight="1" x14ac:dyDescent="0.2">
      <c r="A464" t="s">
        <v>366</v>
      </c>
      <c r="B464" t="s">
        <v>105</v>
      </c>
      <c r="C464" t="s">
        <v>109</v>
      </c>
      <c r="E464" t="s">
        <v>210</v>
      </c>
      <c r="F464">
        <v>14.068</v>
      </c>
    </row>
    <row r="465" spans="1:6" ht="17" hidden="1" customHeight="1" x14ac:dyDescent="0.2">
      <c r="A465" t="s">
        <v>366</v>
      </c>
      <c r="B465" t="s">
        <v>105</v>
      </c>
      <c r="C465" t="s">
        <v>112</v>
      </c>
      <c r="E465" t="s">
        <v>210</v>
      </c>
      <c r="F465">
        <v>15.247999999999999</v>
      </c>
    </row>
    <row r="466" spans="1:6" ht="17" hidden="1" customHeight="1" x14ac:dyDescent="0.2">
      <c r="A466" t="s">
        <v>366</v>
      </c>
      <c r="B466" t="s">
        <v>105</v>
      </c>
      <c r="C466" t="s">
        <v>115</v>
      </c>
      <c r="E466" t="s">
        <v>210</v>
      </c>
      <c r="F466">
        <v>10.504</v>
      </c>
    </row>
    <row r="467" spans="1:6" ht="17" hidden="1" customHeight="1" x14ac:dyDescent="0.2">
      <c r="A467" t="s">
        <v>366</v>
      </c>
      <c r="B467" t="s">
        <v>105</v>
      </c>
      <c r="C467" t="s">
        <v>118</v>
      </c>
      <c r="E467" t="s">
        <v>210</v>
      </c>
      <c r="F467">
        <v>14.555</v>
      </c>
    </row>
    <row r="468" spans="1:6" ht="17" hidden="1" customHeight="1" x14ac:dyDescent="0.2">
      <c r="A468" t="s">
        <v>366</v>
      </c>
      <c r="B468" t="s">
        <v>121</v>
      </c>
      <c r="C468" t="s">
        <v>122</v>
      </c>
      <c r="E468" t="s">
        <v>210</v>
      </c>
      <c r="F468">
        <v>16.527000000000001</v>
      </c>
    </row>
    <row r="469" spans="1:6" ht="17" hidden="1" customHeight="1" x14ac:dyDescent="0.2">
      <c r="A469" t="s">
        <v>366</v>
      </c>
      <c r="B469" t="s">
        <v>121</v>
      </c>
      <c r="C469" t="s">
        <v>125</v>
      </c>
      <c r="E469" t="s">
        <v>210</v>
      </c>
      <c r="F469">
        <v>11.208</v>
      </c>
    </row>
    <row r="470" spans="1:6" ht="17" hidden="1" customHeight="1" x14ac:dyDescent="0.2">
      <c r="A470" t="s">
        <v>366</v>
      </c>
      <c r="B470" t="s">
        <v>14</v>
      </c>
      <c r="C470" t="s">
        <v>15</v>
      </c>
      <c r="E470" t="s">
        <v>211</v>
      </c>
      <c r="F470">
        <v>15.673999999999999</v>
      </c>
    </row>
    <row r="471" spans="1:6" ht="17" hidden="1" customHeight="1" x14ac:dyDescent="0.2">
      <c r="A471" t="s">
        <v>366</v>
      </c>
      <c r="B471" t="s">
        <v>14</v>
      </c>
      <c r="C471" t="s">
        <v>18</v>
      </c>
      <c r="E471" t="s">
        <v>211</v>
      </c>
      <c r="F471">
        <v>13.579000000000001</v>
      </c>
    </row>
    <row r="472" spans="1:6" ht="17" hidden="1" customHeight="1" x14ac:dyDescent="0.2">
      <c r="A472" t="s">
        <v>366</v>
      </c>
      <c r="B472" t="s">
        <v>14</v>
      </c>
      <c r="C472" t="s">
        <v>21</v>
      </c>
      <c r="E472" t="s">
        <v>211</v>
      </c>
      <c r="F472">
        <v>8.8089999999999993</v>
      </c>
    </row>
    <row r="473" spans="1:6" ht="17" hidden="1" customHeight="1" x14ac:dyDescent="0.2">
      <c r="A473" t="s">
        <v>366</v>
      </c>
      <c r="B473" t="s">
        <v>14</v>
      </c>
      <c r="C473" t="s">
        <v>24</v>
      </c>
      <c r="E473" t="s">
        <v>211</v>
      </c>
      <c r="F473">
        <v>7.7060000000000004</v>
      </c>
    </row>
    <row r="474" spans="1:6" ht="17" hidden="1" customHeight="1" x14ac:dyDescent="0.2">
      <c r="A474" t="s">
        <v>366</v>
      </c>
      <c r="B474" t="s">
        <v>14</v>
      </c>
      <c r="C474" t="s">
        <v>27</v>
      </c>
      <c r="E474" t="s">
        <v>211</v>
      </c>
      <c r="F474">
        <v>10.199999999999999</v>
      </c>
    </row>
    <row r="475" spans="1:6" ht="17" hidden="1" customHeight="1" x14ac:dyDescent="0.2">
      <c r="A475" t="s">
        <v>366</v>
      </c>
      <c r="B475" t="s">
        <v>14</v>
      </c>
      <c r="C475" t="s">
        <v>30</v>
      </c>
      <c r="E475" t="s">
        <v>211</v>
      </c>
      <c r="F475">
        <v>14.388</v>
      </c>
    </row>
    <row r="476" spans="1:6" ht="17" hidden="1" customHeight="1" x14ac:dyDescent="0.2">
      <c r="A476" t="s">
        <v>366</v>
      </c>
      <c r="B476" t="s">
        <v>33</v>
      </c>
      <c r="C476" t="s">
        <v>34</v>
      </c>
      <c r="E476" t="s">
        <v>211</v>
      </c>
      <c r="F476">
        <v>13.526</v>
      </c>
    </row>
    <row r="477" spans="1:6" ht="17" hidden="1" customHeight="1" x14ac:dyDescent="0.2">
      <c r="A477" t="s">
        <v>366</v>
      </c>
      <c r="B477" t="s">
        <v>33</v>
      </c>
      <c r="C477" t="s">
        <v>37</v>
      </c>
      <c r="E477" t="s">
        <v>211</v>
      </c>
      <c r="F477">
        <v>17.597999999999999</v>
      </c>
    </row>
    <row r="478" spans="1:6" ht="17" hidden="1" customHeight="1" x14ac:dyDescent="0.2">
      <c r="A478" t="s">
        <v>366</v>
      </c>
      <c r="B478" t="s">
        <v>33</v>
      </c>
      <c r="C478" t="s">
        <v>40</v>
      </c>
      <c r="E478" t="s">
        <v>211</v>
      </c>
      <c r="F478">
        <v>17.891999999999999</v>
      </c>
    </row>
    <row r="479" spans="1:6" ht="17" hidden="1" customHeight="1" x14ac:dyDescent="0.2">
      <c r="A479" t="s">
        <v>366</v>
      </c>
      <c r="B479" t="s">
        <v>33</v>
      </c>
      <c r="C479" t="s">
        <v>43</v>
      </c>
      <c r="E479" t="s">
        <v>211</v>
      </c>
      <c r="F479">
        <v>14.271000000000001</v>
      </c>
    </row>
    <row r="480" spans="1:6" ht="17" hidden="1" customHeight="1" x14ac:dyDescent="0.2">
      <c r="A480" t="s">
        <v>366</v>
      </c>
      <c r="B480" t="s">
        <v>33</v>
      </c>
      <c r="C480" t="s">
        <v>46</v>
      </c>
      <c r="E480" t="s">
        <v>211</v>
      </c>
      <c r="F480">
        <v>16.937000000000001</v>
      </c>
    </row>
    <row r="481" spans="1:6" ht="17" hidden="1" customHeight="1" x14ac:dyDescent="0.2">
      <c r="A481" t="s">
        <v>366</v>
      </c>
      <c r="B481" t="s">
        <v>33</v>
      </c>
      <c r="C481" t="s">
        <v>49</v>
      </c>
      <c r="E481" t="s">
        <v>211</v>
      </c>
      <c r="F481">
        <v>15.084</v>
      </c>
    </row>
    <row r="482" spans="1:6" ht="17" hidden="1" customHeight="1" x14ac:dyDescent="0.2">
      <c r="A482" t="s">
        <v>366</v>
      </c>
      <c r="B482" t="s">
        <v>33</v>
      </c>
      <c r="C482" t="s">
        <v>52</v>
      </c>
      <c r="E482" t="s">
        <v>211</v>
      </c>
      <c r="F482">
        <v>19.568000000000001</v>
      </c>
    </row>
    <row r="483" spans="1:6" ht="17" hidden="1" customHeight="1" x14ac:dyDescent="0.2">
      <c r="A483" t="s">
        <v>366</v>
      </c>
      <c r="B483" t="s">
        <v>33</v>
      </c>
      <c r="C483" t="s">
        <v>55</v>
      </c>
      <c r="E483" t="s">
        <v>211</v>
      </c>
      <c r="F483">
        <v>16.216000000000001</v>
      </c>
    </row>
    <row r="484" spans="1:6" ht="17" hidden="1" customHeight="1" x14ac:dyDescent="0.2">
      <c r="A484" t="s">
        <v>366</v>
      </c>
      <c r="B484" t="s">
        <v>33</v>
      </c>
      <c r="C484" t="s">
        <v>58</v>
      </c>
      <c r="E484" t="s">
        <v>211</v>
      </c>
      <c r="F484">
        <v>16.716000000000001</v>
      </c>
    </row>
    <row r="485" spans="1:6" ht="17" hidden="1" customHeight="1" x14ac:dyDescent="0.2">
      <c r="A485" t="s">
        <v>366</v>
      </c>
      <c r="B485" t="s">
        <v>33</v>
      </c>
      <c r="C485" t="s">
        <v>61</v>
      </c>
      <c r="E485" t="s">
        <v>211</v>
      </c>
      <c r="F485">
        <v>7.3520000000000003</v>
      </c>
    </row>
    <row r="486" spans="1:6" ht="17" hidden="1" customHeight="1" x14ac:dyDescent="0.2">
      <c r="A486" t="s">
        <v>366</v>
      </c>
      <c r="B486" t="s">
        <v>64</v>
      </c>
      <c r="C486" t="s">
        <v>65</v>
      </c>
      <c r="E486" t="s">
        <v>211</v>
      </c>
      <c r="F486">
        <v>8.2430000000000003</v>
      </c>
    </row>
    <row r="487" spans="1:6" ht="17" hidden="1" customHeight="1" x14ac:dyDescent="0.2">
      <c r="A487" t="s">
        <v>366</v>
      </c>
      <c r="B487" t="s">
        <v>64</v>
      </c>
      <c r="C487" t="s">
        <v>68</v>
      </c>
      <c r="E487" t="s">
        <v>211</v>
      </c>
      <c r="F487">
        <v>7.0830000000000002</v>
      </c>
    </row>
    <row r="488" spans="1:6" ht="17" hidden="1" customHeight="1" x14ac:dyDescent="0.2">
      <c r="A488" t="s">
        <v>366</v>
      </c>
      <c r="B488" t="s">
        <v>64</v>
      </c>
      <c r="C488" t="s">
        <v>71</v>
      </c>
      <c r="E488" t="s">
        <v>211</v>
      </c>
      <c r="F488">
        <v>8.7490000000000006</v>
      </c>
    </row>
    <row r="489" spans="1:6" ht="17" hidden="1" customHeight="1" x14ac:dyDescent="0.2">
      <c r="A489" t="s">
        <v>366</v>
      </c>
      <c r="B489" t="s">
        <v>64</v>
      </c>
      <c r="C489" t="s">
        <v>74</v>
      </c>
      <c r="E489" t="s">
        <v>211</v>
      </c>
      <c r="F489">
        <v>13.273</v>
      </c>
    </row>
    <row r="490" spans="1:6" ht="17" hidden="1" customHeight="1" x14ac:dyDescent="0.2">
      <c r="A490" t="s">
        <v>366</v>
      </c>
      <c r="B490" t="s">
        <v>64</v>
      </c>
      <c r="C490" t="s">
        <v>77</v>
      </c>
      <c r="E490" t="s">
        <v>211</v>
      </c>
      <c r="F490">
        <v>14.749000000000001</v>
      </c>
    </row>
    <row r="491" spans="1:6" ht="17" hidden="1" customHeight="1" x14ac:dyDescent="0.2">
      <c r="A491" t="s">
        <v>366</v>
      </c>
      <c r="B491" t="s">
        <v>208</v>
      </c>
      <c r="C491" t="s">
        <v>81</v>
      </c>
      <c r="E491" t="s">
        <v>211</v>
      </c>
      <c r="F491">
        <v>14.523999999999999</v>
      </c>
    </row>
    <row r="492" spans="1:6" ht="17" hidden="1" customHeight="1" x14ac:dyDescent="0.2">
      <c r="A492" t="s">
        <v>366</v>
      </c>
      <c r="B492" t="s">
        <v>208</v>
      </c>
      <c r="C492" t="s">
        <v>84</v>
      </c>
      <c r="E492" t="s">
        <v>211</v>
      </c>
      <c r="F492">
        <v>18.614999999999998</v>
      </c>
    </row>
    <row r="493" spans="1:6" ht="17" hidden="1" customHeight="1" x14ac:dyDescent="0.2">
      <c r="A493" t="s">
        <v>366</v>
      </c>
      <c r="B493" t="s">
        <v>208</v>
      </c>
      <c r="C493" t="s">
        <v>87</v>
      </c>
      <c r="E493" t="s">
        <v>211</v>
      </c>
      <c r="F493">
        <v>15.345000000000001</v>
      </c>
    </row>
    <row r="494" spans="1:6" ht="17" hidden="1" customHeight="1" x14ac:dyDescent="0.2">
      <c r="A494" t="s">
        <v>366</v>
      </c>
      <c r="B494" t="s">
        <v>208</v>
      </c>
      <c r="C494" t="s">
        <v>90</v>
      </c>
      <c r="E494" t="s">
        <v>211</v>
      </c>
      <c r="F494">
        <v>12.493</v>
      </c>
    </row>
    <row r="495" spans="1:6" ht="17" hidden="1" customHeight="1" x14ac:dyDescent="0.2">
      <c r="A495" t="s">
        <v>366</v>
      </c>
      <c r="B495" t="s">
        <v>208</v>
      </c>
      <c r="C495" t="s">
        <v>93</v>
      </c>
      <c r="E495" t="s">
        <v>211</v>
      </c>
      <c r="F495">
        <v>12.127000000000001</v>
      </c>
    </row>
    <row r="496" spans="1:6" ht="17" hidden="1" customHeight="1" x14ac:dyDescent="0.2">
      <c r="A496" t="s">
        <v>366</v>
      </c>
      <c r="B496" t="s">
        <v>208</v>
      </c>
      <c r="C496" t="s">
        <v>96</v>
      </c>
      <c r="E496" t="s">
        <v>211</v>
      </c>
      <c r="F496">
        <v>14.167999999999999</v>
      </c>
    </row>
    <row r="497" spans="1:6" ht="17" hidden="1" customHeight="1" x14ac:dyDescent="0.2">
      <c r="A497" t="s">
        <v>366</v>
      </c>
      <c r="B497" t="s">
        <v>208</v>
      </c>
      <c r="C497" t="s">
        <v>99</v>
      </c>
      <c r="E497" t="s">
        <v>211</v>
      </c>
      <c r="F497">
        <v>16.759</v>
      </c>
    </row>
    <row r="498" spans="1:6" ht="17" hidden="1" customHeight="1" x14ac:dyDescent="0.2">
      <c r="A498" t="s">
        <v>366</v>
      </c>
      <c r="B498" t="s">
        <v>208</v>
      </c>
      <c r="C498" t="s">
        <v>102</v>
      </c>
      <c r="E498" t="s">
        <v>211</v>
      </c>
      <c r="F498">
        <v>19.504000000000001</v>
      </c>
    </row>
    <row r="499" spans="1:6" ht="17" hidden="1" customHeight="1" x14ac:dyDescent="0.2">
      <c r="A499" t="s">
        <v>366</v>
      </c>
      <c r="B499" t="s">
        <v>105</v>
      </c>
      <c r="C499" t="s">
        <v>106</v>
      </c>
      <c r="E499" t="s">
        <v>211</v>
      </c>
      <c r="F499">
        <v>11.532999999999999</v>
      </c>
    </row>
    <row r="500" spans="1:6" ht="17" hidden="1" customHeight="1" x14ac:dyDescent="0.2">
      <c r="A500" t="s">
        <v>366</v>
      </c>
      <c r="B500" t="s">
        <v>105</v>
      </c>
      <c r="C500" t="s">
        <v>109</v>
      </c>
      <c r="E500" t="s">
        <v>211</v>
      </c>
      <c r="F500">
        <v>14.529</v>
      </c>
    </row>
    <row r="501" spans="1:6" ht="17" hidden="1" customHeight="1" x14ac:dyDescent="0.2">
      <c r="A501" t="s">
        <v>366</v>
      </c>
      <c r="B501" t="s">
        <v>105</v>
      </c>
      <c r="C501" t="s">
        <v>112</v>
      </c>
      <c r="E501" t="s">
        <v>211</v>
      </c>
      <c r="F501">
        <v>13.765000000000001</v>
      </c>
    </row>
    <row r="502" spans="1:6" ht="17" hidden="1" customHeight="1" x14ac:dyDescent="0.2">
      <c r="A502" t="s">
        <v>366</v>
      </c>
      <c r="B502" t="s">
        <v>105</v>
      </c>
      <c r="C502" t="s">
        <v>115</v>
      </c>
      <c r="E502" t="s">
        <v>211</v>
      </c>
      <c r="F502">
        <v>10.077</v>
      </c>
    </row>
    <row r="503" spans="1:6" ht="17" hidden="1" customHeight="1" x14ac:dyDescent="0.2">
      <c r="A503" t="s">
        <v>366</v>
      </c>
      <c r="B503" t="s">
        <v>105</v>
      </c>
      <c r="C503" t="s">
        <v>118</v>
      </c>
      <c r="E503" t="s">
        <v>211</v>
      </c>
      <c r="F503">
        <v>14</v>
      </c>
    </row>
    <row r="504" spans="1:6" ht="17" hidden="1" customHeight="1" x14ac:dyDescent="0.2">
      <c r="A504" t="s">
        <v>366</v>
      </c>
      <c r="B504" t="s">
        <v>121</v>
      </c>
      <c r="C504" t="s">
        <v>122</v>
      </c>
      <c r="E504" t="s">
        <v>211</v>
      </c>
      <c r="F504">
        <v>18.245000000000001</v>
      </c>
    </row>
    <row r="505" spans="1:6" ht="17" hidden="1" customHeight="1" x14ac:dyDescent="0.2">
      <c r="A505" t="s">
        <v>366</v>
      </c>
      <c r="B505" t="s">
        <v>121</v>
      </c>
      <c r="C505" t="s">
        <v>125</v>
      </c>
      <c r="E505" t="s">
        <v>211</v>
      </c>
      <c r="F505">
        <v>15.04</v>
      </c>
    </row>
    <row r="506" spans="1:6" ht="17" hidden="1" customHeight="1" x14ac:dyDescent="0.2">
      <c r="A506" t="s">
        <v>366</v>
      </c>
      <c r="B506" t="s">
        <v>14</v>
      </c>
      <c r="C506" t="s">
        <v>15</v>
      </c>
      <c r="E506" t="s">
        <v>212</v>
      </c>
      <c r="F506">
        <v>14.109</v>
      </c>
    </row>
    <row r="507" spans="1:6" ht="17" hidden="1" customHeight="1" x14ac:dyDescent="0.2">
      <c r="A507" t="s">
        <v>366</v>
      </c>
      <c r="B507" t="s">
        <v>14</v>
      </c>
      <c r="C507" t="s">
        <v>18</v>
      </c>
      <c r="E507" t="s">
        <v>212</v>
      </c>
      <c r="F507">
        <v>14.058999999999999</v>
      </c>
    </row>
    <row r="508" spans="1:6" ht="17" hidden="1" customHeight="1" x14ac:dyDescent="0.2">
      <c r="A508" t="s">
        <v>366</v>
      </c>
      <c r="B508" t="s">
        <v>14</v>
      </c>
      <c r="C508" t="s">
        <v>21</v>
      </c>
      <c r="E508" t="s">
        <v>212</v>
      </c>
      <c r="F508">
        <v>11.9</v>
      </c>
    </row>
    <row r="509" spans="1:6" ht="17" hidden="1" customHeight="1" x14ac:dyDescent="0.2">
      <c r="A509" t="s">
        <v>366</v>
      </c>
      <c r="B509" t="s">
        <v>14</v>
      </c>
      <c r="C509" t="s">
        <v>24</v>
      </c>
      <c r="E509" t="s">
        <v>212</v>
      </c>
      <c r="F509">
        <v>14.034000000000001</v>
      </c>
    </row>
    <row r="510" spans="1:6" ht="17" hidden="1" customHeight="1" x14ac:dyDescent="0.2">
      <c r="A510" t="s">
        <v>366</v>
      </c>
      <c r="B510" t="s">
        <v>14</v>
      </c>
      <c r="C510" t="s">
        <v>27</v>
      </c>
      <c r="E510" t="s">
        <v>212</v>
      </c>
      <c r="F510">
        <v>12.741</v>
      </c>
    </row>
    <row r="511" spans="1:6" ht="17" hidden="1" customHeight="1" x14ac:dyDescent="0.2">
      <c r="A511" t="s">
        <v>366</v>
      </c>
      <c r="B511" t="s">
        <v>14</v>
      </c>
      <c r="C511" t="s">
        <v>30</v>
      </c>
      <c r="E511" t="s">
        <v>212</v>
      </c>
      <c r="F511">
        <v>10.879</v>
      </c>
    </row>
    <row r="512" spans="1:6" ht="17" hidden="1" customHeight="1" x14ac:dyDescent="0.2">
      <c r="A512" t="s">
        <v>366</v>
      </c>
      <c r="B512" t="s">
        <v>33</v>
      </c>
      <c r="C512" t="s">
        <v>34</v>
      </c>
      <c r="E512" t="s">
        <v>212</v>
      </c>
      <c r="F512">
        <v>13.818</v>
      </c>
    </row>
    <row r="513" spans="1:6" ht="17" hidden="1" customHeight="1" x14ac:dyDescent="0.2">
      <c r="A513" t="s">
        <v>366</v>
      </c>
      <c r="B513" t="s">
        <v>33</v>
      </c>
      <c r="C513" t="s">
        <v>37</v>
      </c>
      <c r="E513" t="s">
        <v>212</v>
      </c>
      <c r="F513">
        <v>14.334</v>
      </c>
    </row>
    <row r="514" spans="1:6" ht="17" hidden="1" customHeight="1" x14ac:dyDescent="0.2">
      <c r="A514" t="s">
        <v>366</v>
      </c>
      <c r="B514" t="s">
        <v>33</v>
      </c>
      <c r="C514" t="s">
        <v>40</v>
      </c>
      <c r="E514" t="s">
        <v>212</v>
      </c>
      <c r="F514">
        <v>13.673999999999999</v>
      </c>
    </row>
    <row r="515" spans="1:6" ht="17" hidden="1" customHeight="1" x14ac:dyDescent="0.2">
      <c r="A515" t="s">
        <v>366</v>
      </c>
      <c r="B515" t="s">
        <v>33</v>
      </c>
      <c r="C515" t="s">
        <v>43</v>
      </c>
      <c r="E515" t="s">
        <v>212</v>
      </c>
      <c r="F515">
        <v>12.811</v>
      </c>
    </row>
    <row r="516" spans="1:6" ht="17" hidden="1" customHeight="1" x14ac:dyDescent="0.2">
      <c r="A516" t="s">
        <v>366</v>
      </c>
      <c r="B516" t="s">
        <v>33</v>
      </c>
      <c r="C516" t="s">
        <v>46</v>
      </c>
      <c r="E516" t="s">
        <v>212</v>
      </c>
      <c r="F516">
        <v>13.163</v>
      </c>
    </row>
    <row r="517" spans="1:6" ht="17" hidden="1" customHeight="1" x14ac:dyDescent="0.2">
      <c r="A517" t="s">
        <v>366</v>
      </c>
      <c r="B517" t="s">
        <v>33</v>
      </c>
      <c r="C517" t="s">
        <v>49</v>
      </c>
      <c r="E517" t="s">
        <v>212</v>
      </c>
      <c r="F517">
        <v>11.125999999999999</v>
      </c>
    </row>
    <row r="518" spans="1:6" ht="17" hidden="1" customHeight="1" x14ac:dyDescent="0.2">
      <c r="A518" t="s">
        <v>366</v>
      </c>
      <c r="B518" t="s">
        <v>33</v>
      </c>
      <c r="C518" t="s">
        <v>52</v>
      </c>
      <c r="E518" t="s">
        <v>212</v>
      </c>
      <c r="F518">
        <v>15.563000000000001</v>
      </c>
    </row>
    <row r="519" spans="1:6" ht="17" hidden="1" customHeight="1" x14ac:dyDescent="0.2">
      <c r="A519" t="s">
        <v>366</v>
      </c>
      <c r="B519" t="s">
        <v>33</v>
      </c>
      <c r="C519" t="s">
        <v>55</v>
      </c>
      <c r="E519" t="s">
        <v>212</v>
      </c>
      <c r="F519">
        <v>14.38</v>
      </c>
    </row>
    <row r="520" spans="1:6" ht="17" hidden="1" customHeight="1" x14ac:dyDescent="0.2">
      <c r="A520" t="s">
        <v>366</v>
      </c>
      <c r="B520" t="s">
        <v>33</v>
      </c>
      <c r="C520" t="s">
        <v>58</v>
      </c>
      <c r="E520" t="s">
        <v>212</v>
      </c>
      <c r="F520">
        <v>14.337999999999999</v>
      </c>
    </row>
    <row r="521" spans="1:6" ht="17" hidden="1" customHeight="1" x14ac:dyDescent="0.2">
      <c r="A521" t="s">
        <v>366</v>
      </c>
      <c r="B521" t="s">
        <v>33</v>
      </c>
      <c r="C521" t="s">
        <v>61</v>
      </c>
      <c r="E521" t="s">
        <v>212</v>
      </c>
      <c r="F521">
        <v>11.204000000000001</v>
      </c>
    </row>
    <row r="522" spans="1:6" ht="17" hidden="1" customHeight="1" x14ac:dyDescent="0.2">
      <c r="A522" t="s">
        <v>366</v>
      </c>
      <c r="B522" t="s">
        <v>64</v>
      </c>
      <c r="C522" t="s">
        <v>65</v>
      </c>
      <c r="E522" t="s">
        <v>212</v>
      </c>
      <c r="F522">
        <v>12.478</v>
      </c>
    </row>
    <row r="523" spans="1:6" ht="17" hidden="1" customHeight="1" x14ac:dyDescent="0.2">
      <c r="A523" t="s">
        <v>366</v>
      </c>
      <c r="B523" t="s">
        <v>64</v>
      </c>
      <c r="C523" t="s">
        <v>68</v>
      </c>
      <c r="E523" t="s">
        <v>212</v>
      </c>
      <c r="F523">
        <v>11.928000000000001</v>
      </c>
    </row>
    <row r="524" spans="1:6" ht="17" hidden="1" customHeight="1" x14ac:dyDescent="0.2">
      <c r="A524" t="s">
        <v>366</v>
      </c>
      <c r="B524" t="s">
        <v>64</v>
      </c>
      <c r="C524" t="s">
        <v>71</v>
      </c>
      <c r="E524" t="s">
        <v>212</v>
      </c>
      <c r="F524">
        <v>10.686</v>
      </c>
    </row>
    <row r="525" spans="1:6" ht="17" hidden="1" customHeight="1" x14ac:dyDescent="0.2">
      <c r="A525" t="s">
        <v>366</v>
      </c>
      <c r="B525" t="s">
        <v>64</v>
      </c>
      <c r="C525" t="s">
        <v>74</v>
      </c>
      <c r="E525" t="s">
        <v>212</v>
      </c>
      <c r="F525">
        <v>10.574999999999999</v>
      </c>
    </row>
    <row r="526" spans="1:6" ht="17" hidden="1" customHeight="1" x14ac:dyDescent="0.2">
      <c r="A526" t="s">
        <v>366</v>
      </c>
      <c r="B526" t="s">
        <v>64</v>
      </c>
      <c r="C526" t="s">
        <v>77</v>
      </c>
      <c r="E526" t="s">
        <v>212</v>
      </c>
      <c r="F526">
        <v>12.871</v>
      </c>
    </row>
    <row r="527" spans="1:6" ht="17" hidden="1" customHeight="1" x14ac:dyDescent="0.2">
      <c r="A527" t="s">
        <v>366</v>
      </c>
      <c r="B527" t="s">
        <v>208</v>
      </c>
      <c r="C527" t="s">
        <v>81</v>
      </c>
      <c r="E527" t="s">
        <v>212</v>
      </c>
      <c r="F527">
        <v>15.436</v>
      </c>
    </row>
    <row r="528" spans="1:6" ht="17" hidden="1" customHeight="1" x14ac:dyDescent="0.2">
      <c r="A528" t="s">
        <v>366</v>
      </c>
      <c r="B528" t="s">
        <v>208</v>
      </c>
      <c r="C528" t="s">
        <v>84</v>
      </c>
      <c r="E528" t="s">
        <v>212</v>
      </c>
      <c r="F528">
        <v>16.079000000000001</v>
      </c>
    </row>
    <row r="529" spans="1:6" ht="17" hidden="1" customHeight="1" x14ac:dyDescent="0.2">
      <c r="A529" t="s">
        <v>366</v>
      </c>
      <c r="B529" t="s">
        <v>208</v>
      </c>
      <c r="C529" t="s">
        <v>87</v>
      </c>
      <c r="E529" t="s">
        <v>212</v>
      </c>
      <c r="F529">
        <v>13.313000000000001</v>
      </c>
    </row>
    <row r="530" spans="1:6" ht="17" hidden="1" customHeight="1" x14ac:dyDescent="0.2">
      <c r="A530" t="s">
        <v>366</v>
      </c>
      <c r="B530" t="s">
        <v>208</v>
      </c>
      <c r="C530" t="s">
        <v>90</v>
      </c>
      <c r="E530" t="s">
        <v>212</v>
      </c>
      <c r="F530">
        <v>11.356999999999999</v>
      </c>
    </row>
    <row r="531" spans="1:6" ht="17" hidden="1" customHeight="1" x14ac:dyDescent="0.2">
      <c r="A531" t="s">
        <v>366</v>
      </c>
      <c r="B531" t="s">
        <v>208</v>
      </c>
      <c r="C531" t="s">
        <v>93</v>
      </c>
      <c r="E531" t="s">
        <v>212</v>
      </c>
      <c r="F531">
        <v>12.598000000000001</v>
      </c>
    </row>
    <row r="532" spans="1:6" ht="17" hidden="1" customHeight="1" x14ac:dyDescent="0.2">
      <c r="A532" t="s">
        <v>366</v>
      </c>
      <c r="B532" t="s">
        <v>208</v>
      </c>
      <c r="C532" t="s">
        <v>96</v>
      </c>
      <c r="E532" t="s">
        <v>212</v>
      </c>
      <c r="F532">
        <v>10.71</v>
      </c>
    </row>
    <row r="533" spans="1:6" ht="17" hidden="1" customHeight="1" x14ac:dyDescent="0.2">
      <c r="A533" t="s">
        <v>366</v>
      </c>
      <c r="B533" t="s">
        <v>208</v>
      </c>
      <c r="C533" t="s">
        <v>99</v>
      </c>
      <c r="E533" t="s">
        <v>212</v>
      </c>
      <c r="F533">
        <v>13.612</v>
      </c>
    </row>
    <row r="534" spans="1:6" ht="17" hidden="1" customHeight="1" x14ac:dyDescent="0.2">
      <c r="A534" t="s">
        <v>366</v>
      </c>
      <c r="B534" t="s">
        <v>208</v>
      </c>
      <c r="C534" t="s">
        <v>102</v>
      </c>
      <c r="E534" t="s">
        <v>212</v>
      </c>
      <c r="F534">
        <v>14.471</v>
      </c>
    </row>
    <row r="535" spans="1:6" ht="17" hidden="1" customHeight="1" x14ac:dyDescent="0.2">
      <c r="A535" t="s">
        <v>366</v>
      </c>
      <c r="B535" t="s">
        <v>105</v>
      </c>
      <c r="C535" t="s">
        <v>106</v>
      </c>
      <c r="E535" t="s">
        <v>212</v>
      </c>
      <c r="F535">
        <v>10.272</v>
      </c>
    </row>
    <row r="536" spans="1:6" ht="17" hidden="1" customHeight="1" x14ac:dyDescent="0.2">
      <c r="A536" t="s">
        <v>366</v>
      </c>
      <c r="B536" t="s">
        <v>105</v>
      </c>
      <c r="C536" t="s">
        <v>109</v>
      </c>
      <c r="E536" t="s">
        <v>212</v>
      </c>
      <c r="F536">
        <v>10.672000000000001</v>
      </c>
    </row>
    <row r="537" spans="1:6" ht="17" hidden="1" customHeight="1" x14ac:dyDescent="0.2">
      <c r="A537" t="s">
        <v>366</v>
      </c>
      <c r="B537" t="s">
        <v>105</v>
      </c>
      <c r="C537" t="s">
        <v>112</v>
      </c>
      <c r="E537" t="s">
        <v>212</v>
      </c>
      <c r="F537">
        <v>12.519</v>
      </c>
    </row>
    <row r="538" spans="1:6" ht="17" hidden="1" customHeight="1" x14ac:dyDescent="0.2">
      <c r="A538" t="s">
        <v>366</v>
      </c>
      <c r="B538" t="s">
        <v>105</v>
      </c>
      <c r="C538" t="s">
        <v>115</v>
      </c>
      <c r="E538" t="s">
        <v>212</v>
      </c>
      <c r="F538">
        <v>9.7889999999999997</v>
      </c>
    </row>
    <row r="539" spans="1:6" ht="17" hidden="1" customHeight="1" x14ac:dyDescent="0.2">
      <c r="A539" t="s">
        <v>366</v>
      </c>
      <c r="B539" t="s">
        <v>105</v>
      </c>
      <c r="C539" t="s">
        <v>118</v>
      </c>
      <c r="E539" t="s">
        <v>212</v>
      </c>
      <c r="F539">
        <v>13.701000000000001</v>
      </c>
    </row>
    <row r="540" spans="1:6" ht="17" hidden="1" customHeight="1" x14ac:dyDescent="0.2">
      <c r="A540" t="s">
        <v>366</v>
      </c>
      <c r="B540" t="s">
        <v>121</v>
      </c>
      <c r="C540" t="s">
        <v>122</v>
      </c>
      <c r="E540" t="s">
        <v>212</v>
      </c>
      <c r="F540">
        <v>13.313000000000001</v>
      </c>
    </row>
    <row r="541" spans="1:6" ht="17" hidden="1" customHeight="1" x14ac:dyDescent="0.2">
      <c r="A541" t="s">
        <v>366</v>
      </c>
      <c r="B541" t="s">
        <v>121</v>
      </c>
      <c r="C541" t="s">
        <v>125</v>
      </c>
      <c r="E541" t="s">
        <v>212</v>
      </c>
      <c r="F541">
        <v>11.798</v>
      </c>
    </row>
    <row r="542" spans="1:6" ht="17" hidden="1" customHeight="1" x14ac:dyDescent="0.2">
      <c r="A542" t="s">
        <v>366</v>
      </c>
      <c r="B542" t="s">
        <v>14</v>
      </c>
      <c r="C542" t="s">
        <v>15</v>
      </c>
      <c r="E542" t="s">
        <v>213</v>
      </c>
      <c r="F542">
        <v>11.145</v>
      </c>
    </row>
    <row r="543" spans="1:6" ht="17" hidden="1" customHeight="1" x14ac:dyDescent="0.2">
      <c r="A543" t="s">
        <v>366</v>
      </c>
      <c r="B543" t="s">
        <v>14</v>
      </c>
      <c r="C543" t="s">
        <v>18</v>
      </c>
      <c r="E543" t="s">
        <v>213</v>
      </c>
      <c r="F543">
        <v>15.048</v>
      </c>
    </row>
    <row r="544" spans="1:6" ht="17" hidden="1" customHeight="1" x14ac:dyDescent="0.2">
      <c r="A544" t="s">
        <v>366</v>
      </c>
      <c r="B544" t="s">
        <v>14</v>
      </c>
      <c r="C544" t="s">
        <v>21</v>
      </c>
      <c r="E544" t="s">
        <v>213</v>
      </c>
      <c r="F544">
        <v>8.9030000000000005</v>
      </c>
    </row>
    <row r="545" spans="1:6" ht="17" hidden="1" customHeight="1" x14ac:dyDescent="0.2">
      <c r="A545" t="s">
        <v>366</v>
      </c>
      <c r="B545" t="s">
        <v>14</v>
      </c>
      <c r="C545" t="s">
        <v>24</v>
      </c>
      <c r="E545" t="s">
        <v>213</v>
      </c>
      <c r="F545">
        <v>5.5330000000000004</v>
      </c>
    </row>
    <row r="546" spans="1:6" ht="17" hidden="1" customHeight="1" x14ac:dyDescent="0.2">
      <c r="A546" t="s">
        <v>366</v>
      </c>
      <c r="B546" t="s">
        <v>14</v>
      </c>
      <c r="C546" t="s">
        <v>27</v>
      </c>
      <c r="E546" t="s">
        <v>213</v>
      </c>
      <c r="F546">
        <v>12.263999999999999</v>
      </c>
    </row>
    <row r="547" spans="1:6" ht="17" hidden="1" customHeight="1" x14ac:dyDescent="0.2">
      <c r="A547" t="s">
        <v>366</v>
      </c>
      <c r="B547" t="s">
        <v>14</v>
      </c>
      <c r="C547" t="s">
        <v>30</v>
      </c>
      <c r="E547" t="s">
        <v>213</v>
      </c>
      <c r="F547">
        <v>14.305</v>
      </c>
    </row>
    <row r="548" spans="1:6" ht="17" hidden="1" customHeight="1" x14ac:dyDescent="0.2">
      <c r="A548" t="s">
        <v>366</v>
      </c>
      <c r="B548" t="s">
        <v>33</v>
      </c>
      <c r="C548" t="s">
        <v>34</v>
      </c>
      <c r="E548" t="s">
        <v>213</v>
      </c>
      <c r="F548">
        <v>12.494999999999999</v>
      </c>
    </row>
    <row r="549" spans="1:6" ht="17" hidden="1" customHeight="1" x14ac:dyDescent="0.2">
      <c r="A549" t="s">
        <v>366</v>
      </c>
      <c r="B549" t="s">
        <v>33</v>
      </c>
      <c r="C549" t="s">
        <v>37</v>
      </c>
      <c r="E549" t="s">
        <v>213</v>
      </c>
      <c r="F549">
        <v>13.833</v>
      </c>
    </row>
    <row r="550" spans="1:6" ht="17" hidden="1" customHeight="1" x14ac:dyDescent="0.2">
      <c r="A550" t="s">
        <v>366</v>
      </c>
      <c r="B550" t="s">
        <v>33</v>
      </c>
      <c r="C550" t="s">
        <v>40</v>
      </c>
      <c r="E550" t="s">
        <v>213</v>
      </c>
      <c r="F550">
        <v>14.348000000000001</v>
      </c>
    </row>
    <row r="551" spans="1:6" ht="17" hidden="1" customHeight="1" x14ac:dyDescent="0.2">
      <c r="A551" t="s">
        <v>366</v>
      </c>
      <c r="B551" t="s">
        <v>33</v>
      </c>
      <c r="C551" t="s">
        <v>43</v>
      </c>
      <c r="E551" t="s">
        <v>213</v>
      </c>
      <c r="F551">
        <v>13.472</v>
      </c>
    </row>
    <row r="552" spans="1:6" ht="17" hidden="1" customHeight="1" x14ac:dyDescent="0.2">
      <c r="A552" t="s">
        <v>366</v>
      </c>
      <c r="B552" t="s">
        <v>33</v>
      </c>
      <c r="C552" t="s">
        <v>46</v>
      </c>
      <c r="E552" t="s">
        <v>213</v>
      </c>
      <c r="F552">
        <v>17.884</v>
      </c>
    </row>
    <row r="553" spans="1:6" ht="17" hidden="1" customHeight="1" x14ac:dyDescent="0.2">
      <c r="A553" t="s">
        <v>366</v>
      </c>
      <c r="B553" t="s">
        <v>33</v>
      </c>
      <c r="C553" t="s">
        <v>49</v>
      </c>
      <c r="E553" t="s">
        <v>213</v>
      </c>
      <c r="F553">
        <v>16.337</v>
      </c>
    </row>
    <row r="554" spans="1:6" ht="17" hidden="1" customHeight="1" x14ac:dyDescent="0.2">
      <c r="A554" t="s">
        <v>366</v>
      </c>
      <c r="B554" t="s">
        <v>33</v>
      </c>
      <c r="C554" t="s">
        <v>52</v>
      </c>
      <c r="E554" t="s">
        <v>213</v>
      </c>
      <c r="F554">
        <v>14.189</v>
      </c>
    </row>
    <row r="555" spans="1:6" ht="17" hidden="1" customHeight="1" x14ac:dyDescent="0.2">
      <c r="A555" t="s">
        <v>366</v>
      </c>
      <c r="B555" t="s">
        <v>33</v>
      </c>
      <c r="C555" t="s">
        <v>55</v>
      </c>
      <c r="E555" t="s">
        <v>213</v>
      </c>
      <c r="F555">
        <v>11.907999999999999</v>
      </c>
    </row>
    <row r="556" spans="1:6" ht="17" hidden="1" customHeight="1" x14ac:dyDescent="0.2">
      <c r="A556" t="s">
        <v>366</v>
      </c>
      <c r="B556" t="s">
        <v>33</v>
      </c>
      <c r="C556" t="s">
        <v>58</v>
      </c>
      <c r="E556" t="s">
        <v>213</v>
      </c>
      <c r="F556">
        <v>13.484</v>
      </c>
    </row>
    <row r="557" spans="1:6" ht="17" hidden="1" customHeight="1" x14ac:dyDescent="0.2">
      <c r="A557" t="s">
        <v>366</v>
      </c>
      <c r="B557" t="s">
        <v>33</v>
      </c>
      <c r="C557" t="s">
        <v>61</v>
      </c>
      <c r="E557" t="s">
        <v>213</v>
      </c>
      <c r="F557">
        <v>9.109</v>
      </c>
    </row>
    <row r="558" spans="1:6" ht="17" hidden="1" customHeight="1" x14ac:dyDescent="0.2">
      <c r="A558" t="s">
        <v>366</v>
      </c>
      <c r="B558" t="s">
        <v>64</v>
      </c>
      <c r="C558" t="s">
        <v>65</v>
      </c>
      <c r="E558" t="s">
        <v>213</v>
      </c>
      <c r="F558">
        <v>6.907</v>
      </c>
    </row>
    <row r="559" spans="1:6" ht="17" hidden="1" customHeight="1" x14ac:dyDescent="0.2">
      <c r="A559" t="s">
        <v>366</v>
      </c>
      <c r="B559" t="s">
        <v>64</v>
      </c>
      <c r="C559" t="s">
        <v>68</v>
      </c>
      <c r="E559" t="s">
        <v>213</v>
      </c>
      <c r="F559">
        <v>5.7220000000000004</v>
      </c>
    </row>
    <row r="560" spans="1:6" ht="17" hidden="1" customHeight="1" x14ac:dyDescent="0.2">
      <c r="A560" t="s">
        <v>366</v>
      </c>
      <c r="B560" t="s">
        <v>64</v>
      </c>
      <c r="C560" t="s">
        <v>71</v>
      </c>
      <c r="E560" t="s">
        <v>213</v>
      </c>
      <c r="F560">
        <v>7.7679999999999998</v>
      </c>
    </row>
    <row r="561" spans="1:6" ht="17" hidden="1" customHeight="1" x14ac:dyDescent="0.2">
      <c r="A561" t="s">
        <v>366</v>
      </c>
      <c r="B561" t="s">
        <v>64</v>
      </c>
      <c r="C561" t="s">
        <v>74</v>
      </c>
      <c r="E561" t="s">
        <v>213</v>
      </c>
      <c r="F561">
        <v>12.371</v>
      </c>
    </row>
    <row r="562" spans="1:6" ht="17" hidden="1" customHeight="1" x14ac:dyDescent="0.2">
      <c r="A562" t="s">
        <v>366</v>
      </c>
      <c r="B562" t="s">
        <v>64</v>
      </c>
      <c r="C562" t="s">
        <v>77</v>
      </c>
      <c r="E562" t="s">
        <v>213</v>
      </c>
      <c r="F562">
        <v>14.087</v>
      </c>
    </row>
    <row r="563" spans="1:6" ht="17" hidden="1" customHeight="1" x14ac:dyDescent="0.2">
      <c r="A563" t="s">
        <v>366</v>
      </c>
      <c r="B563" t="s">
        <v>208</v>
      </c>
      <c r="C563" t="s">
        <v>81</v>
      </c>
      <c r="E563" t="s">
        <v>213</v>
      </c>
      <c r="F563">
        <v>13.791</v>
      </c>
    </row>
    <row r="564" spans="1:6" ht="17" hidden="1" customHeight="1" x14ac:dyDescent="0.2">
      <c r="A564" t="s">
        <v>366</v>
      </c>
      <c r="B564" t="s">
        <v>208</v>
      </c>
      <c r="C564" t="s">
        <v>84</v>
      </c>
      <c r="E564" t="s">
        <v>213</v>
      </c>
      <c r="F564">
        <v>13.035</v>
      </c>
    </row>
    <row r="565" spans="1:6" ht="17" hidden="1" customHeight="1" x14ac:dyDescent="0.2">
      <c r="A565" t="s">
        <v>366</v>
      </c>
      <c r="B565" t="s">
        <v>208</v>
      </c>
      <c r="C565" t="s">
        <v>87</v>
      </c>
      <c r="E565" t="s">
        <v>213</v>
      </c>
      <c r="F565">
        <v>15.22</v>
      </c>
    </row>
    <row r="566" spans="1:6" ht="17" hidden="1" customHeight="1" x14ac:dyDescent="0.2">
      <c r="A566" t="s">
        <v>366</v>
      </c>
      <c r="B566" t="s">
        <v>208</v>
      </c>
      <c r="C566" t="s">
        <v>90</v>
      </c>
      <c r="E566" t="s">
        <v>213</v>
      </c>
      <c r="F566">
        <v>9.4359999999999999</v>
      </c>
    </row>
    <row r="567" spans="1:6" ht="17" hidden="1" customHeight="1" x14ac:dyDescent="0.2">
      <c r="A567" t="s">
        <v>366</v>
      </c>
      <c r="B567" t="s">
        <v>208</v>
      </c>
      <c r="C567" t="s">
        <v>93</v>
      </c>
      <c r="E567" t="s">
        <v>213</v>
      </c>
      <c r="F567">
        <v>10.941000000000001</v>
      </c>
    </row>
    <row r="568" spans="1:6" ht="17" hidden="1" customHeight="1" x14ac:dyDescent="0.2">
      <c r="A568" t="s">
        <v>366</v>
      </c>
      <c r="B568" t="s">
        <v>208</v>
      </c>
      <c r="C568" t="s">
        <v>96</v>
      </c>
      <c r="E568" t="s">
        <v>213</v>
      </c>
      <c r="F568">
        <v>13.853</v>
      </c>
    </row>
    <row r="569" spans="1:6" ht="17" hidden="1" customHeight="1" x14ac:dyDescent="0.2">
      <c r="A569" t="s">
        <v>366</v>
      </c>
      <c r="B569" t="s">
        <v>208</v>
      </c>
      <c r="C569" t="s">
        <v>99</v>
      </c>
      <c r="E569" t="s">
        <v>213</v>
      </c>
      <c r="F569">
        <v>15.699</v>
      </c>
    </row>
    <row r="570" spans="1:6" ht="17" hidden="1" customHeight="1" x14ac:dyDescent="0.2">
      <c r="A570" t="s">
        <v>366</v>
      </c>
      <c r="B570" t="s">
        <v>208</v>
      </c>
      <c r="C570" t="s">
        <v>102</v>
      </c>
      <c r="E570" t="s">
        <v>213</v>
      </c>
      <c r="F570">
        <v>12.845000000000001</v>
      </c>
    </row>
    <row r="571" spans="1:6" ht="17" hidden="1" customHeight="1" x14ac:dyDescent="0.2">
      <c r="A571" t="s">
        <v>366</v>
      </c>
      <c r="B571" t="s">
        <v>105</v>
      </c>
      <c r="C571" t="s">
        <v>106</v>
      </c>
      <c r="E571" t="s">
        <v>213</v>
      </c>
      <c r="F571">
        <v>11.379</v>
      </c>
    </row>
    <row r="572" spans="1:6" ht="17" hidden="1" customHeight="1" x14ac:dyDescent="0.2">
      <c r="A572" t="s">
        <v>366</v>
      </c>
      <c r="B572" t="s">
        <v>105</v>
      </c>
      <c r="C572" t="s">
        <v>109</v>
      </c>
      <c r="E572" t="s">
        <v>213</v>
      </c>
      <c r="F572">
        <v>11.169</v>
      </c>
    </row>
    <row r="573" spans="1:6" ht="17" hidden="1" customHeight="1" x14ac:dyDescent="0.2">
      <c r="A573" t="s">
        <v>366</v>
      </c>
      <c r="B573" t="s">
        <v>105</v>
      </c>
      <c r="C573" t="s">
        <v>112</v>
      </c>
      <c r="E573" t="s">
        <v>213</v>
      </c>
      <c r="F573">
        <v>14.221</v>
      </c>
    </row>
    <row r="574" spans="1:6" ht="17" hidden="1" customHeight="1" x14ac:dyDescent="0.2">
      <c r="A574" t="s">
        <v>366</v>
      </c>
      <c r="B574" t="s">
        <v>105</v>
      </c>
      <c r="C574" t="s">
        <v>115</v>
      </c>
      <c r="E574" t="s">
        <v>213</v>
      </c>
      <c r="F574">
        <v>9.6010000000000009</v>
      </c>
    </row>
    <row r="575" spans="1:6" ht="17" hidden="1" customHeight="1" x14ac:dyDescent="0.2">
      <c r="A575" t="s">
        <v>366</v>
      </c>
      <c r="B575" t="s">
        <v>105</v>
      </c>
      <c r="C575" t="s">
        <v>118</v>
      </c>
      <c r="E575" t="s">
        <v>213</v>
      </c>
      <c r="F575">
        <v>12.266999999999999</v>
      </c>
    </row>
    <row r="576" spans="1:6" ht="17" hidden="1" customHeight="1" x14ac:dyDescent="0.2">
      <c r="A576" t="s">
        <v>366</v>
      </c>
      <c r="B576" t="s">
        <v>121</v>
      </c>
      <c r="C576" t="s">
        <v>122</v>
      </c>
      <c r="E576" t="s">
        <v>213</v>
      </c>
      <c r="F576">
        <v>14.925000000000001</v>
      </c>
    </row>
    <row r="577" spans="1:8" ht="17" hidden="1" customHeight="1" x14ac:dyDescent="0.2">
      <c r="A577" t="s">
        <v>366</v>
      </c>
      <c r="B577" t="s">
        <v>121</v>
      </c>
      <c r="C577" t="s">
        <v>125</v>
      </c>
      <c r="E577" t="s">
        <v>213</v>
      </c>
      <c r="F577">
        <v>10.555</v>
      </c>
    </row>
    <row r="588" spans="1:8" ht="17" customHeight="1" x14ac:dyDescent="0.2">
      <c r="H588">
        <f>14.61-14.77</f>
        <v>-0.16000000000000014</v>
      </c>
    </row>
  </sheetData>
  <autoFilter ref="A1:F577" xr:uid="{B960FAC4-EFAA-A54D-A6EC-66CB947BD19F}">
    <filterColumn colId="0">
      <filters>
        <filter val="Gemini 3 Pro"/>
      </filters>
    </filterColumn>
    <filterColumn colId="2">
      <filters>
        <filter val="What is the amount of the output data?"/>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EFEA-74B3-AB4F-B271-7019DE209ABF}">
  <dimension ref="A1:N109"/>
  <sheetViews>
    <sheetView topLeftCell="E1" workbookViewId="0">
      <selection activeCell="J20" sqref="J20"/>
    </sheetView>
  </sheetViews>
  <sheetFormatPr baseColWidth="10" defaultRowHeight="16" x14ac:dyDescent="0.2"/>
  <cols>
    <col min="4" max="4" width="38.1640625" customWidth="1"/>
    <col min="9" max="9" width="57.1640625" customWidth="1"/>
    <col min="10" max="10" width="28" customWidth="1"/>
    <col min="11" max="11" width="12.83203125" customWidth="1"/>
    <col min="12" max="12" width="16.1640625" customWidth="1"/>
    <col min="14" max="14" width="10.83203125" style="2"/>
  </cols>
  <sheetData>
    <row r="1" spans="1:12" x14ac:dyDescent="0.2">
      <c r="A1" t="s">
        <v>0</v>
      </c>
      <c r="B1" t="s">
        <v>1</v>
      </c>
      <c r="C1" t="s">
        <v>2</v>
      </c>
      <c r="D1" t="s">
        <v>3</v>
      </c>
      <c r="E1" t="s">
        <v>6</v>
      </c>
      <c r="F1" t="s">
        <v>7</v>
      </c>
      <c r="G1" t="s">
        <v>8</v>
      </c>
      <c r="H1" t="s">
        <v>9</v>
      </c>
      <c r="I1" t="s">
        <v>217</v>
      </c>
      <c r="J1" t="s">
        <v>218</v>
      </c>
      <c r="L1" t="s">
        <v>205</v>
      </c>
    </row>
    <row r="2" spans="1:12" x14ac:dyDescent="0.2">
      <c r="A2" t="s">
        <v>166</v>
      </c>
      <c r="B2" t="s">
        <v>167</v>
      </c>
      <c r="C2" t="s">
        <v>14</v>
      </c>
      <c r="D2" t="s">
        <v>21</v>
      </c>
      <c r="E2">
        <v>0.84199999999999997</v>
      </c>
      <c r="F2">
        <v>0.88500000000000001</v>
      </c>
      <c r="G2">
        <v>0.86299999999999999</v>
      </c>
      <c r="H2">
        <v>0.108</v>
      </c>
      <c r="I2" t="s">
        <v>329</v>
      </c>
      <c r="J2" t="s">
        <v>224</v>
      </c>
      <c r="L2" s="2" cm="1">
        <f t="array" ref="L2">INDEX('ACF Scores'!M:M, MATCH(1, (B2='ACF Scores'!B:B)*(D2='ACF Scores'!D:D),0))</f>
        <v>0.73</v>
      </c>
    </row>
    <row r="3" spans="1:12" x14ac:dyDescent="0.2">
      <c r="A3" t="s">
        <v>12</v>
      </c>
      <c r="B3" t="s">
        <v>13</v>
      </c>
      <c r="C3" t="s">
        <v>208</v>
      </c>
      <c r="D3" t="s">
        <v>93</v>
      </c>
      <c r="E3">
        <v>0.86699999999999999</v>
      </c>
      <c r="F3">
        <v>0.91400000000000003</v>
      </c>
      <c r="G3">
        <v>0.89</v>
      </c>
      <c r="H3">
        <v>0.151</v>
      </c>
      <c r="I3" t="s">
        <v>269</v>
      </c>
      <c r="J3" t="s">
        <v>270</v>
      </c>
      <c r="L3" s="2" cm="1">
        <f t="array" ref="L3">INDEX('ACF Scores'!M:M, MATCH(1, (B3='ACF Scores'!B:B)*(D3='ACF Scores'!D:D),0))</f>
        <v>0.47699999999999998</v>
      </c>
    </row>
    <row r="4" spans="1:12" x14ac:dyDescent="0.2">
      <c r="A4" t="s">
        <v>166</v>
      </c>
      <c r="B4" t="s">
        <v>167</v>
      </c>
      <c r="C4" t="s">
        <v>64</v>
      </c>
      <c r="D4" t="s">
        <v>65</v>
      </c>
      <c r="E4">
        <v>0.84799999999999998</v>
      </c>
      <c r="F4">
        <v>0.88600000000000001</v>
      </c>
      <c r="G4">
        <v>0.86699999999999999</v>
      </c>
      <c r="H4">
        <v>0.153</v>
      </c>
      <c r="I4" t="s">
        <v>343</v>
      </c>
      <c r="J4" t="s">
        <v>252</v>
      </c>
      <c r="L4" s="2" cm="1">
        <f t="array" ref="L4">INDEX('ACF Scores'!M:M, MATCH(1, (B4='ACF Scores'!B:B)*(D4='ACF Scores'!D:D),0))</f>
        <v>0.57699999999999996</v>
      </c>
    </row>
    <row r="5" spans="1:12" x14ac:dyDescent="0.2">
      <c r="A5" t="s">
        <v>128</v>
      </c>
      <c r="B5" t="s">
        <v>129</v>
      </c>
      <c r="C5" t="s">
        <v>208</v>
      </c>
      <c r="D5" t="s">
        <v>87</v>
      </c>
      <c r="E5">
        <v>0.84199999999999997</v>
      </c>
      <c r="F5">
        <v>0.871</v>
      </c>
      <c r="G5">
        <v>0.85599999999999998</v>
      </c>
      <c r="H5">
        <v>0.17</v>
      </c>
      <c r="I5" t="s">
        <v>314</v>
      </c>
      <c r="J5" t="s">
        <v>266</v>
      </c>
      <c r="L5" s="2" cm="1">
        <f t="array" ref="L5">INDEX('ACF Scores'!M:M, MATCH(1, (B5='ACF Scores'!B:B)*(D5='ACF Scores'!D:D),0))</f>
        <v>0.63600000000000001</v>
      </c>
    </row>
    <row r="6" spans="1:12" x14ac:dyDescent="0.2">
      <c r="A6" t="s">
        <v>166</v>
      </c>
      <c r="B6" t="s">
        <v>167</v>
      </c>
      <c r="C6" t="s">
        <v>33</v>
      </c>
      <c r="D6" t="s">
        <v>46</v>
      </c>
      <c r="E6">
        <v>0.88400000000000001</v>
      </c>
      <c r="F6">
        <v>0.92700000000000005</v>
      </c>
      <c r="G6">
        <v>0.90500000000000003</v>
      </c>
      <c r="H6">
        <v>0.17</v>
      </c>
      <c r="I6" t="s">
        <v>337</v>
      </c>
      <c r="J6" t="s">
        <v>240</v>
      </c>
      <c r="L6" s="2" cm="1">
        <f t="array" ref="L6">INDEX('ACF Scores'!M:M, MATCH(1, (B6='ACF Scores'!B:B)*(D6='ACF Scores'!D:D),0))</f>
        <v>0.68</v>
      </c>
    </row>
    <row r="7" spans="1:12" x14ac:dyDescent="0.2">
      <c r="A7" t="s">
        <v>12</v>
      </c>
      <c r="B7" t="s">
        <v>13</v>
      </c>
      <c r="C7" t="s">
        <v>64</v>
      </c>
      <c r="D7" t="s">
        <v>71</v>
      </c>
      <c r="E7">
        <v>0.877</v>
      </c>
      <c r="F7">
        <v>0.89800000000000002</v>
      </c>
      <c r="G7">
        <v>0.88800000000000001</v>
      </c>
      <c r="H7">
        <v>0.17599999999999999</v>
      </c>
      <c r="I7" t="s">
        <v>255</v>
      </c>
      <c r="J7" t="s">
        <v>256</v>
      </c>
      <c r="L7" s="2" cm="1">
        <f t="array" ref="L7">INDEX('ACF Scores'!M:M, MATCH(1, (B7='ACF Scores'!B:B)*(D7='ACF Scores'!D:D),0))</f>
        <v>0.73</v>
      </c>
    </row>
    <row r="8" spans="1:12" x14ac:dyDescent="0.2">
      <c r="A8" t="s">
        <v>128</v>
      </c>
      <c r="B8" t="s">
        <v>129</v>
      </c>
      <c r="C8" t="s">
        <v>208</v>
      </c>
      <c r="D8" t="s">
        <v>84</v>
      </c>
      <c r="E8">
        <v>0.84799999999999998</v>
      </c>
      <c r="F8">
        <v>0.88</v>
      </c>
      <c r="G8">
        <v>0.86399999999999999</v>
      </c>
      <c r="H8">
        <v>0.186</v>
      </c>
      <c r="I8" t="s">
        <v>313</v>
      </c>
      <c r="J8" t="s">
        <v>264</v>
      </c>
      <c r="L8" s="2" cm="1">
        <f t="array" ref="L8">INDEX('ACF Scores'!M:M, MATCH(1, (B8='ACF Scores'!B:B)*(D8='ACF Scores'!D:D),0))</f>
        <v>0.74</v>
      </c>
    </row>
    <row r="9" spans="1:12" x14ac:dyDescent="0.2">
      <c r="A9" t="s">
        <v>12</v>
      </c>
      <c r="B9" t="s">
        <v>13</v>
      </c>
      <c r="C9" t="s">
        <v>105</v>
      </c>
      <c r="D9" t="s">
        <v>115</v>
      </c>
      <c r="E9">
        <v>0.91800000000000004</v>
      </c>
      <c r="F9">
        <v>0.89800000000000002</v>
      </c>
      <c r="G9">
        <v>0.90800000000000003</v>
      </c>
      <c r="H9">
        <v>0.21</v>
      </c>
      <c r="I9" t="s">
        <v>283</v>
      </c>
      <c r="J9" t="s">
        <v>284</v>
      </c>
      <c r="L9" s="2" cm="1">
        <f t="array" ref="L9">INDEX('ACF Scores'!M:M, MATCH(1, (B9='ACF Scores'!B:B)*(D9='ACF Scores'!D:D),0))</f>
        <v>0.35199999999999998</v>
      </c>
    </row>
    <row r="10" spans="1:12" x14ac:dyDescent="0.2">
      <c r="A10" t="s">
        <v>12</v>
      </c>
      <c r="B10" t="s">
        <v>13</v>
      </c>
      <c r="C10" t="s">
        <v>105</v>
      </c>
      <c r="D10" t="s">
        <v>118</v>
      </c>
      <c r="E10">
        <v>0.877</v>
      </c>
      <c r="F10">
        <v>0.90100000000000002</v>
      </c>
      <c r="G10">
        <v>0.88900000000000001</v>
      </c>
      <c r="H10">
        <v>0.217</v>
      </c>
      <c r="I10" t="s">
        <v>285</v>
      </c>
      <c r="J10" t="s">
        <v>286</v>
      </c>
      <c r="L10" s="2" cm="1">
        <f t="array" ref="L10">INDEX('ACF Scores'!M:M, MATCH(1, (B10='ACF Scores'!B:B)*(D10='ACF Scores'!D:D),0))</f>
        <v>0.77</v>
      </c>
    </row>
    <row r="11" spans="1:12" x14ac:dyDescent="0.2">
      <c r="A11" t="s">
        <v>128</v>
      </c>
      <c r="B11" t="s">
        <v>129</v>
      </c>
      <c r="C11" t="s">
        <v>14</v>
      </c>
      <c r="D11" t="s">
        <v>21</v>
      </c>
      <c r="E11">
        <v>0.85099999999999998</v>
      </c>
      <c r="F11">
        <v>0.88</v>
      </c>
      <c r="G11">
        <v>0.86499999999999999</v>
      </c>
      <c r="H11">
        <v>0.246</v>
      </c>
      <c r="I11" t="s">
        <v>293</v>
      </c>
      <c r="J11" t="s">
        <v>224</v>
      </c>
      <c r="L11" s="2" cm="1">
        <f t="array" ref="L11">INDEX('ACF Scores'!M:M, MATCH(1, (B11='ACF Scores'!B:B)*(D11='ACF Scores'!D:D),0))</f>
        <v>0.68500000000000005</v>
      </c>
    </row>
    <row r="12" spans="1:12" x14ac:dyDescent="0.2">
      <c r="A12" t="s">
        <v>12</v>
      </c>
      <c r="B12" t="s">
        <v>13</v>
      </c>
      <c r="C12" t="s">
        <v>33</v>
      </c>
      <c r="D12" t="s">
        <v>46</v>
      </c>
      <c r="E12">
        <v>0.88700000000000001</v>
      </c>
      <c r="F12">
        <v>0.89700000000000002</v>
      </c>
      <c r="G12">
        <v>0.89200000000000002</v>
      </c>
      <c r="H12">
        <v>0.248</v>
      </c>
      <c r="I12" t="s">
        <v>239</v>
      </c>
      <c r="J12" t="s">
        <v>240</v>
      </c>
      <c r="L12" s="2" cm="1">
        <f t="array" ref="L12">INDEX('ACF Scores'!M:M, MATCH(1, (B12='ACF Scores'!B:B)*(D12='ACF Scores'!D:D),0))</f>
        <v>0.58399999999999996</v>
      </c>
    </row>
    <row r="13" spans="1:12" x14ac:dyDescent="0.2">
      <c r="A13" t="s">
        <v>12</v>
      </c>
      <c r="B13" t="s">
        <v>13</v>
      </c>
      <c r="C13" t="s">
        <v>14</v>
      </c>
      <c r="D13" t="s">
        <v>21</v>
      </c>
      <c r="E13">
        <v>0.86299999999999999</v>
      </c>
      <c r="F13">
        <v>0.88700000000000001</v>
      </c>
      <c r="G13">
        <v>0.875</v>
      </c>
      <c r="H13">
        <v>0.25800000000000001</v>
      </c>
      <c r="I13" t="s">
        <v>223</v>
      </c>
      <c r="J13" t="s">
        <v>224</v>
      </c>
      <c r="L13" s="2" cm="1">
        <f t="array" ref="L13">INDEX('ACF Scores'!M:M, MATCH(1, (B13='ACF Scores'!B:B)*(D13='ACF Scores'!D:D),0))</f>
        <v>0.77900000000000003</v>
      </c>
    </row>
    <row r="14" spans="1:12" x14ac:dyDescent="0.2">
      <c r="A14" t="s">
        <v>12</v>
      </c>
      <c r="B14" t="s">
        <v>13</v>
      </c>
      <c r="C14" t="s">
        <v>33</v>
      </c>
      <c r="D14" t="s">
        <v>34</v>
      </c>
      <c r="E14">
        <v>0.91500000000000004</v>
      </c>
      <c r="F14">
        <v>0.85199999999999998</v>
      </c>
      <c r="G14">
        <v>0.88200000000000001</v>
      </c>
      <c r="H14">
        <v>0.25900000000000001</v>
      </c>
      <c r="I14" t="s">
        <v>231</v>
      </c>
      <c r="J14" t="s">
        <v>232</v>
      </c>
      <c r="L14" s="2" cm="1">
        <f t="array" ref="L14">INDEX('ACF Scores'!M:M, MATCH(1, (B14='ACF Scores'!B:B)*(D14='ACF Scores'!D:D),0))</f>
        <v>0.39700000000000002</v>
      </c>
    </row>
    <row r="15" spans="1:12" x14ac:dyDescent="0.2">
      <c r="A15" t="s">
        <v>12</v>
      </c>
      <c r="B15" t="s">
        <v>13</v>
      </c>
      <c r="C15" t="s">
        <v>121</v>
      </c>
      <c r="D15" t="s">
        <v>122</v>
      </c>
      <c r="E15">
        <v>0.90300000000000002</v>
      </c>
      <c r="F15">
        <v>0.86699999999999999</v>
      </c>
      <c r="G15">
        <v>0.88400000000000001</v>
      </c>
      <c r="H15">
        <v>0.26200000000000001</v>
      </c>
      <c r="I15" t="s">
        <v>287</v>
      </c>
      <c r="J15" t="s">
        <v>288</v>
      </c>
      <c r="L15" s="2" cm="1">
        <f t="array" ref="L15">INDEX('ACF Scores'!M:M, MATCH(1, (B15='ACF Scores'!B:B)*(D15='ACF Scores'!D:D),0))</f>
        <v>0.71</v>
      </c>
    </row>
    <row r="16" spans="1:12" x14ac:dyDescent="0.2">
      <c r="A16" t="s">
        <v>128</v>
      </c>
      <c r="B16" t="s">
        <v>129</v>
      </c>
      <c r="C16" t="s">
        <v>105</v>
      </c>
      <c r="D16" t="s">
        <v>115</v>
      </c>
      <c r="E16">
        <v>0.85499999999999998</v>
      </c>
      <c r="F16">
        <v>0.873</v>
      </c>
      <c r="G16">
        <v>0.86399999999999999</v>
      </c>
      <c r="H16">
        <v>0.28100000000000003</v>
      </c>
      <c r="I16" t="s">
        <v>323</v>
      </c>
      <c r="J16" t="s">
        <v>284</v>
      </c>
      <c r="L16" s="2" cm="1">
        <f t="array" ref="L16">INDEX('ACF Scores'!M:M, MATCH(1, (B16='ACF Scores'!B:B)*(D16='ACF Scores'!D:D),0))</f>
        <v>0.47199999999999998</v>
      </c>
    </row>
    <row r="17" spans="1:12" x14ac:dyDescent="0.2">
      <c r="A17" t="s">
        <v>12</v>
      </c>
      <c r="B17" t="s">
        <v>13</v>
      </c>
      <c r="C17" t="s">
        <v>105</v>
      </c>
      <c r="D17" t="s">
        <v>109</v>
      </c>
      <c r="E17">
        <v>0.90200000000000002</v>
      </c>
      <c r="F17">
        <v>0.878</v>
      </c>
      <c r="G17">
        <v>0.89</v>
      </c>
      <c r="H17">
        <v>0.28699999999999998</v>
      </c>
      <c r="I17" t="s">
        <v>279</v>
      </c>
      <c r="J17" t="s">
        <v>280</v>
      </c>
      <c r="L17" s="2" cm="1">
        <f t="array" ref="L17">INDEX('ACF Scores'!M:M, MATCH(1, (B17='ACF Scores'!B:B)*(D17='ACF Scores'!D:D),0))</f>
        <v>0.43</v>
      </c>
    </row>
    <row r="18" spans="1:12" x14ac:dyDescent="0.2">
      <c r="A18" t="s">
        <v>12</v>
      </c>
      <c r="B18" t="s">
        <v>13</v>
      </c>
      <c r="C18" t="s">
        <v>33</v>
      </c>
      <c r="D18" t="s">
        <v>49</v>
      </c>
      <c r="E18">
        <v>0.92500000000000004</v>
      </c>
      <c r="F18">
        <v>0.92300000000000004</v>
      </c>
      <c r="G18">
        <v>0.92400000000000004</v>
      </c>
      <c r="H18">
        <v>0.29199999999999998</v>
      </c>
      <c r="I18" t="s">
        <v>241</v>
      </c>
      <c r="J18" t="s">
        <v>242</v>
      </c>
      <c r="L18" s="2" cm="1">
        <f t="array" ref="L18">INDEX('ACF Scores'!M:M, MATCH(1, (B18='ACF Scores'!B:B)*(D18='ACF Scores'!D:D),0))</f>
        <v>0.64300000000000002</v>
      </c>
    </row>
    <row r="19" spans="1:12" x14ac:dyDescent="0.2">
      <c r="A19" t="s">
        <v>12</v>
      </c>
      <c r="B19" t="s">
        <v>13</v>
      </c>
      <c r="C19" t="s">
        <v>208</v>
      </c>
      <c r="D19" t="s">
        <v>87</v>
      </c>
      <c r="E19">
        <v>0.90700000000000003</v>
      </c>
      <c r="F19">
        <v>0.89400000000000002</v>
      </c>
      <c r="G19">
        <v>0.90100000000000002</v>
      </c>
      <c r="H19">
        <v>0.29299999999999998</v>
      </c>
      <c r="I19" t="s">
        <v>265</v>
      </c>
      <c r="J19" t="s">
        <v>266</v>
      </c>
      <c r="L19" s="2" cm="1">
        <f t="array" ref="L19">INDEX('ACF Scores'!M:M, MATCH(1, (B19='ACF Scores'!B:B)*(D19='ACF Scores'!D:D),0))</f>
        <v>0.34100000000000003</v>
      </c>
    </row>
    <row r="20" spans="1:12" x14ac:dyDescent="0.2">
      <c r="A20" t="s">
        <v>12</v>
      </c>
      <c r="B20" t="s">
        <v>13</v>
      </c>
      <c r="C20" t="s">
        <v>33</v>
      </c>
      <c r="D20" t="s">
        <v>37</v>
      </c>
      <c r="E20">
        <v>0.89800000000000002</v>
      </c>
      <c r="F20">
        <v>0.93400000000000005</v>
      </c>
      <c r="G20">
        <v>0.91600000000000004</v>
      </c>
      <c r="H20">
        <v>0.3</v>
      </c>
      <c r="I20" t="s">
        <v>233</v>
      </c>
      <c r="J20" t="s">
        <v>234</v>
      </c>
      <c r="L20" s="2" cm="1">
        <f t="array" ref="L20">INDEX('ACF Scores'!M:M, MATCH(1, (B20='ACF Scores'!B:B)*(D20='ACF Scores'!D:D),0))</f>
        <v>0.56200000000000006</v>
      </c>
    </row>
    <row r="21" spans="1:12" x14ac:dyDescent="0.2">
      <c r="A21" t="s">
        <v>12</v>
      </c>
      <c r="B21" t="s">
        <v>13</v>
      </c>
      <c r="C21" t="s">
        <v>208</v>
      </c>
      <c r="D21" t="s">
        <v>84</v>
      </c>
      <c r="E21">
        <v>0.91900000000000004</v>
      </c>
      <c r="F21">
        <v>0.90800000000000003</v>
      </c>
      <c r="G21">
        <v>0.91400000000000003</v>
      </c>
      <c r="H21">
        <v>0.30399999999999999</v>
      </c>
      <c r="I21" t="s">
        <v>263</v>
      </c>
      <c r="J21" t="s">
        <v>264</v>
      </c>
      <c r="L21" s="2" cm="1">
        <f t="array" ref="L21">INDEX('ACF Scores'!M:M, MATCH(1, (B21='ACF Scores'!B:B)*(D21='ACF Scores'!D:D),0))</f>
        <v>0.57899999999999996</v>
      </c>
    </row>
    <row r="22" spans="1:12" x14ac:dyDescent="0.2">
      <c r="A22" t="s">
        <v>128</v>
      </c>
      <c r="B22" t="s">
        <v>129</v>
      </c>
      <c r="C22" t="s">
        <v>121</v>
      </c>
      <c r="D22" t="s">
        <v>122</v>
      </c>
      <c r="E22">
        <v>0.85399999999999998</v>
      </c>
      <c r="F22">
        <v>0.877</v>
      </c>
      <c r="G22">
        <v>0.86499999999999999</v>
      </c>
      <c r="H22">
        <v>0.30599999999999999</v>
      </c>
      <c r="I22" t="s">
        <v>325</v>
      </c>
      <c r="J22" t="s">
        <v>288</v>
      </c>
      <c r="L22" s="2" cm="1">
        <f t="array" ref="L22">INDEX('ACF Scores'!M:M, MATCH(1, (B22='ACF Scores'!B:B)*(D22='ACF Scores'!D:D),0))</f>
        <v>0.68</v>
      </c>
    </row>
    <row r="23" spans="1:12" x14ac:dyDescent="0.2">
      <c r="A23" t="s">
        <v>12</v>
      </c>
      <c r="B23" t="s">
        <v>13</v>
      </c>
      <c r="C23" t="s">
        <v>33</v>
      </c>
      <c r="D23" t="s">
        <v>61</v>
      </c>
      <c r="E23">
        <v>0.89800000000000002</v>
      </c>
      <c r="F23">
        <v>0.86699999999999999</v>
      </c>
      <c r="G23">
        <v>0.88200000000000001</v>
      </c>
      <c r="H23">
        <v>0.307</v>
      </c>
      <c r="I23" t="s">
        <v>249</v>
      </c>
      <c r="J23" t="s">
        <v>250</v>
      </c>
      <c r="L23" s="2" cm="1">
        <f t="array" ref="L23">INDEX('ACF Scores'!M:M, MATCH(1, (B23='ACF Scores'!B:B)*(D23='ACF Scores'!D:D),0))</f>
        <v>0.67200000000000004</v>
      </c>
    </row>
    <row r="24" spans="1:12" x14ac:dyDescent="0.2">
      <c r="A24" t="s">
        <v>12</v>
      </c>
      <c r="B24" t="s">
        <v>13</v>
      </c>
      <c r="C24" t="s">
        <v>33</v>
      </c>
      <c r="D24" t="s">
        <v>40</v>
      </c>
      <c r="E24">
        <v>0.90600000000000003</v>
      </c>
      <c r="F24">
        <v>0.88800000000000001</v>
      </c>
      <c r="G24">
        <v>0.89600000000000002</v>
      </c>
      <c r="H24">
        <v>0.309</v>
      </c>
      <c r="I24" t="s">
        <v>235</v>
      </c>
      <c r="J24" t="s">
        <v>236</v>
      </c>
      <c r="L24" s="2" cm="1">
        <f t="array" ref="L24">INDEX('ACF Scores'!M:M, MATCH(1, (B24='ACF Scores'!B:B)*(D24='ACF Scores'!D:D),0))</f>
        <v>0.73399999999999999</v>
      </c>
    </row>
    <row r="25" spans="1:12" x14ac:dyDescent="0.2">
      <c r="A25" t="s">
        <v>12</v>
      </c>
      <c r="B25" t="s">
        <v>13</v>
      </c>
      <c r="C25" t="s">
        <v>64</v>
      </c>
      <c r="D25" t="s">
        <v>77</v>
      </c>
      <c r="E25">
        <v>0.88600000000000001</v>
      </c>
      <c r="F25">
        <v>0.88900000000000001</v>
      </c>
      <c r="G25">
        <v>0.88700000000000001</v>
      </c>
      <c r="H25">
        <v>0.316</v>
      </c>
      <c r="I25" t="s">
        <v>259</v>
      </c>
      <c r="J25" t="s">
        <v>260</v>
      </c>
      <c r="L25" s="2" cm="1">
        <f t="array" ref="L25">INDEX('ACF Scores'!M:M, MATCH(1, (B25='ACF Scores'!B:B)*(D25='ACF Scores'!D:D),0))</f>
        <v>0.68700000000000006</v>
      </c>
    </row>
    <row r="26" spans="1:12" x14ac:dyDescent="0.2">
      <c r="A26" t="s">
        <v>128</v>
      </c>
      <c r="B26" t="s">
        <v>129</v>
      </c>
      <c r="C26" t="s">
        <v>208</v>
      </c>
      <c r="D26" t="s">
        <v>102</v>
      </c>
      <c r="E26">
        <v>0.85199999999999998</v>
      </c>
      <c r="F26">
        <v>0.87</v>
      </c>
      <c r="G26">
        <v>0.86099999999999999</v>
      </c>
      <c r="H26">
        <v>0.318</v>
      </c>
      <c r="I26" t="s">
        <v>319</v>
      </c>
      <c r="J26" t="s">
        <v>276</v>
      </c>
      <c r="L26" s="2" cm="1">
        <f t="array" ref="L26">INDEX('ACF Scores'!M:M, MATCH(1, (B26='ACF Scores'!B:B)*(D26='ACF Scores'!D:D),0))</f>
        <v>0.88700000000000001</v>
      </c>
    </row>
    <row r="27" spans="1:12" x14ac:dyDescent="0.2">
      <c r="A27" t="s">
        <v>128</v>
      </c>
      <c r="B27" t="s">
        <v>129</v>
      </c>
      <c r="C27" t="s">
        <v>14</v>
      </c>
      <c r="D27" t="s">
        <v>24</v>
      </c>
      <c r="E27">
        <v>0.87</v>
      </c>
      <c r="F27">
        <v>0.91</v>
      </c>
      <c r="G27">
        <v>0.89</v>
      </c>
      <c r="H27">
        <v>0.31900000000000001</v>
      </c>
      <c r="I27" t="s">
        <v>294</v>
      </c>
      <c r="J27" t="s">
        <v>226</v>
      </c>
      <c r="L27" s="2" cm="1">
        <f t="array" ref="L27">INDEX('ACF Scores'!M:M, MATCH(1, (B27='ACF Scores'!B:B)*(D27='ACF Scores'!D:D),0))</f>
        <v>0.70199999999999996</v>
      </c>
    </row>
    <row r="28" spans="1:12" x14ac:dyDescent="0.2">
      <c r="A28" t="s">
        <v>128</v>
      </c>
      <c r="B28" t="s">
        <v>129</v>
      </c>
      <c r="C28" t="s">
        <v>121</v>
      </c>
      <c r="D28" t="s">
        <v>125</v>
      </c>
      <c r="E28">
        <v>0.85899999999999999</v>
      </c>
      <c r="F28">
        <v>0.872</v>
      </c>
      <c r="G28">
        <v>0.86499999999999999</v>
      </c>
      <c r="H28">
        <v>0.32700000000000001</v>
      </c>
      <c r="I28" t="s">
        <v>326</v>
      </c>
      <c r="J28" t="s">
        <v>290</v>
      </c>
      <c r="L28" s="2" cm="1">
        <f t="array" ref="L28">INDEX('ACF Scores'!M:M, MATCH(1, (B28='ACF Scores'!B:B)*(D28='ACF Scores'!D:D),0))</f>
        <v>0.72</v>
      </c>
    </row>
    <row r="29" spans="1:12" x14ac:dyDescent="0.2">
      <c r="A29" t="s">
        <v>128</v>
      </c>
      <c r="B29" t="s">
        <v>129</v>
      </c>
      <c r="C29" t="s">
        <v>33</v>
      </c>
      <c r="D29" t="s">
        <v>61</v>
      </c>
      <c r="E29">
        <v>0.85399999999999998</v>
      </c>
      <c r="F29">
        <v>0.87</v>
      </c>
      <c r="G29">
        <v>0.86199999999999999</v>
      </c>
      <c r="H29">
        <v>0.33200000000000002</v>
      </c>
      <c r="I29" t="s">
        <v>306</v>
      </c>
      <c r="J29" t="s">
        <v>250</v>
      </c>
      <c r="L29" s="2" cm="1">
        <f t="array" ref="L29">INDEX('ACF Scores'!M:M, MATCH(1, (B29='ACF Scores'!B:B)*(D29='ACF Scores'!D:D),0))</f>
        <v>0.57499999999999996</v>
      </c>
    </row>
    <row r="30" spans="1:12" x14ac:dyDescent="0.2">
      <c r="A30" t="s">
        <v>128</v>
      </c>
      <c r="B30" t="s">
        <v>129</v>
      </c>
      <c r="C30" t="s">
        <v>208</v>
      </c>
      <c r="D30" t="s">
        <v>90</v>
      </c>
      <c r="E30">
        <v>0.88</v>
      </c>
      <c r="F30">
        <v>0.92100000000000004</v>
      </c>
      <c r="G30">
        <v>0.9</v>
      </c>
      <c r="H30">
        <v>0.33200000000000002</v>
      </c>
      <c r="I30" t="s">
        <v>315</v>
      </c>
      <c r="J30" t="s">
        <v>268</v>
      </c>
      <c r="L30" s="2" cm="1">
        <f t="array" ref="L30">INDEX('ACF Scores'!M:M, MATCH(1, (B30='ACF Scores'!B:B)*(D30='ACF Scores'!D:D),0))</f>
        <v>0.39</v>
      </c>
    </row>
    <row r="31" spans="1:12" x14ac:dyDescent="0.2">
      <c r="A31" t="s">
        <v>12</v>
      </c>
      <c r="B31" t="s">
        <v>13</v>
      </c>
      <c r="C31" t="s">
        <v>14</v>
      </c>
      <c r="D31" t="s">
        <v>27</v>
      </c>
      <c r="E31">
        <v>0.89900000000000002</v>
      </c>
      <c r="F31">
        <v>0.90600000000000003</v>
      </c>
      <c r="G31">
        <v>0.90300000000000002</v>
      </c>
      <c r="H31">
        <v>0.33300000000000002</v>
      </c>
      <c r="I31" t="s">
        <v>227</v>
      </c>
      <c r="J31" t="s">
        <v>228</v>
      </c>
      <c r="L31" s="2" cm="1">
        <f t="array" ref="L31">INDEX('ACF Scores'!M:M, MATCH(1, (B31='ACF Scores'!B:B)*(D31='ACF Scores'!D:D),0))</f>
        <v>0.54100000000000004</v>
      </c>
    </row>
    <row r="32" spans="1:12" x14ac:dyDescent="0.2">
      <c r="A32" t="s">
        <v>128</v>
      </c>
      <c r="B32" t="s">
        <v>129</v>
      </c>
      <c r="C32" t="s">
        <v>64</v>
      </c>
      <c r="D32" t="s">
        <v>71</v>
      </c>
      <c r="E32">
        <v>0.85799999999999998</v>
      </c>
      <c r="F32">
        <v>0.89500000000000002</v>
      </c>
      <c r="G32">
        <v>0.876</v>
      </c>
      <c r="H32">
        <v>0.33500000000000002</v>
      </c>
      <c r="I32" t="s">
        <v>309</v>
      </c>
      <c r="J32" t="s">
        <v>256</v>
      </c>
      <c r="L32" s="2" cm="1">
        <f t="array" ref="L32">INDEX('ACF Scores'!M:M, MATCH(1, (B32='ACF Scores'!B:B)*(D32='ACF Scores'!D:D),0))</f>
        <v>0.58799999999999997</v>
      </c>
    </row>
    <row r="33" spans="1:12" x14ac:dyDescent="0.2">
      <c r="A33" t="s">
        <v>128</v>
      </c>
      <c r="B33" t="s">
        <v>129</v>
      </c>
      <c r="C33" t="s">
        <v>33</v>
      </c>
      <c r="D33" t="s">
        <v>43</v>
      </c>
      <c r="E33">
        <v>0.85699999999999998</v>
      </c>
      <c r="F33">
        <v>0.92700000000000005</v>
      </c>
      <c r="G33">
        <v>0.89100000000000001</v>
      </c>
      <c r="H33">
        <v>0.33900000000000002</v>
      </c>
      <c r="I33" t="s">
        <v>300</v>
      </c>
      <c r="J33" t="s">
        <v>238</v>
      </c>
      <c r="L33" s="2" cm="1">
        <f t="array" ref="L33">INDEX('ACF Scores'!M:M, MATCH(1, (B33='ACF Scores'!B:B)*(D33='ACF Scores'!D:D),0))</f>
        <v>0.58699999999999997</v>
      </c>
    </row>
    <row r="34" spans="1:12" x14ac:dyDescent="0.2">
      <c r="A34" t="s">
        <v>128</v>
      </c>
      <c r="B34" t="s">
        <v>129</v>
      </c>
      <c r="C34" t="s">
        <v>208</v>
      </c>
      <c r="D34" t="s">
        <v>96</v>
      </c>
      <c r="E34">
        <v>0.84699999999999998</v>
      </c>
      <c r="F34">
        <v>0.89700000000000002</v>
      </c>
      <c r="G34">
        <v>0.871</v>
      </c>
      <c r="H34">
        <v>0.34200000000000003</v>
      </c>
      <c r="I34" t="s">
        <v>317</v>
      </c>
      <c r="J34" t="s">
        <v>272</v>
      </c>
      <c r="L34" s="2" cm="1">
        <f t="array" ref="L34">INDEX('ACF Scores'!M:M, MATCH(1, (B34='ACF Scores'!B:B)*(D34='ACF Scores'!D:D),0))</f>
        <v>0.76</v>
      </c>
    </row>
    <row r="35" spans="1:12" x14ac:dyDescent="0.2">
      <c r="A35" t="s">
        <v>128</v>
      </c>
      <c r="B35" t="s">
        <v>129</v>
      </c>
      <c r="C35" t="s">
        <v>33</v>
      </c>
      <c r="D35" t="s">
        <v>37</v>
      </c>
      <c r="E35">
        <v>0.84099999999999997</v>
      </c>
      <c r="F35">
        <v>0.89800000000000002</v>
      </c>
      <c r="G35">
        <v>0.86899999999999999</v>
      </c>
      <c r="H35">
        <v>0.35</v>
      </c>
      <c r="I35" t="s">
        <v>298</v>
      </c>
      <c r="J35" t="s">
        <v>234</v>
      </c>
      <c r="L35" s="2" cm="1">
        <f t="array" ref="L35">INDEX('ACF Scores'!M:M, MATCH(1, (B35='ACF Scores'!B:B)*(D35='ACF Scores'!D:D),0))</f>
        <v>0.59799999999999998</v>
      </c>
    </row>
    <row r="36" spans="1:12" x14ac:dyDescent="0.2">
      <c r="A36" t="s">
        <v>128</v>
      </c>
      <c r="B36" t="s">
        <v>129</v>
      </c>
      <c r="C36" t="s">
        <v>105</v>
      </c>
      <c r="D36" t="s">
        <v>109</v>
      </c>
      <c r="E36">
        <v>0.85199999999999998</v>
      </c>
      <c r="F36">
        <v>0.86699999999999999</v>
      </c>
      <c r="G36">
        <v>0.85899999999999999</v>
      </c>
      <c r="H36">
        <v>0.35499999999999998</v>
      </c>
      <c r="I36" t="s">
        <v>321</v>
      </c>
      <c r="J36" t="s">
        <v>280</v>
      </c>
      <c r="L36" s="2" cm="1">
        <f t="array" ref="L36">INDEX('ACF Scores'!M:M, MATCH(1, (B36='ACF Scores'!B:B)*(D36='ACF Scores'!D:D),0))</f>
        <v>0.54700000000000004</v>
      </c>
    </row>
    <row r="37" spans="1:12" x14ac:dyDescent="0.2">
      <c r="A37" t="s">
        <v>166</v>
      </c>
      <c r="B37" t="s">
        <v>167</v>
      </c>
      <c r="C37" t="s">
        <v>14</v>
      </c>
      <c r="D37" t="s">
        <v>30</v>
      </c>
      <c r="E37">
        <v>0.86499999999999999</v>
      </c>
      <c r="F37">
        <v>0.872</v>
      </c>
      <c r="G37">
        <v>0.86899999999999999</v>
      </c>
      <c r="H37">
        <v>0.35799999999999998</v>
      </c>
      <c r="I37" t="s">
        <v>332</v>
      </c>
      <c r="J37" t="s">
        <v>230</v>
      </c>
      <c r="L37" s="2" cm="1">
        <f t="array" ref="L37">INDEX('ACF Scores'!M:M, MATCH(1, (B37='ACF Scores'!B:B)*(D37='ACF Scores'!D:D),0))</f>
        <v>0.67600000000000005</v>
      </c>
    </row>
    <row r="38" spans="1:12" x14ac:dyDescent="0.2">
      <c r="A38" t="s">
        <v>166</v>
      </c>
      <c r="B38" t="s">
        <v>167</v>
      </c>
      <c r="C38" t="s">
        <v>208</v>
      </c>
      <c r="D38" t="s">
        <v>96</v>
      </c>
      <c r="E38">
        <v>0.86299999999999999</v>
      </c>
      <c r="F38">
        <v>0.91400000000000003</v>
      </c>
      <c r="G38">
        <v>0.88800000000000001</v>
      </c>
      <c r="H38">
        <v>0.36</v>
      </c>
      <c r="I38" t="s">
        <v>353</v>
      </c>
      <c r="J38" t="s">
        <v>272</v>
      </c>
      <c r="L38" s="2" cm="1">
        <f t="array" ref="L38">INDEX('ACF Scores'!M:M, MATCH(1, (B38='ACF Scores'!B:B)*(D38='ACF Scores'!D:D),0))</f>
        <v>0.77700000000000002</v>
      </c>
    </row>
    <row r="39" spans="1:12" x14ac:dyDescent="0.2">
      <c r="A39" t="s">
        <v>12</v>
      </c>
      <c r="B39" t="s">
        <v>13</v>
      </c>
      <c r="C39" t="s">
        <v>208</v>
      </c>
      <c r="D39" t="s">
        <v>102</v>
      </c>
      <c r="E39">
        <v>0.91</v>
      </c>
      <c r="F39">
        <v>0.871</v>
      </c>
      <c r="G39">
        <v>0.89</v>
      </c>
      <c r="H39">
        <v>0.376</v>
      </c>
      <c r="I39" t="s">
        <v>275</v>
      </c>
      <c r="J39" t="s">
        <v>276</v>
      </c>
      <c r="L39" s="2" cm="1">
        <f t="array" ref="L39">INDEX('ACF Scores'!M:M, MATCH(1, (B39='ACF Scores'!B:B)*(D39='ACF Scores'!D:D),0))</f>
        <v>0.56799999999999995</v>
      </c>
    </row>
    <row r="40" spans="1:12" x14ac:dyDescent="0.2">
      <c r="A40" t="s">
        <v>12</v>
      </c>
      <c r="B40" t="s">
        <v>13</v>
      </c>
      <c r="C40" t="s">
        <v>14</v>
      </c>
      <c r="D40" t="s">
        <v>24</v>
      </c>
      <c r="E40">
        <v>0.94199999999999995</v>
      </c>
      <c r="F40">
        <v>0.95799999999999996</v>
      </c>
      <c r="G40">
        <v>0.95</v>
      </c>
      <c r="H40">
        <v>0.38200000000000001</v>
      </c>
      <c r="I40" t="s">
        <v>225</v>
      </c>
      <c r="J40" t="s">
        <v>226</v>
      </c>
      <c r="L40" s="2" cm="1">
        <f t="array" ref="L40">INDEX('ACF Scores'!M:M, MATCH(1, (B40='ACF Scores'!B:B)*(D40='ACF Scores'!D:D),0))</f>
        <v>0.86599999999999999</v>
      </c>
    </row>
    <row r="41" spans="1:12" x14ac:dyDescent="0.2">
      <c r="A41" t="s">
        <v>12</v>
      </c>
      <c r="B41" t="s">
        <v>13</v>
      </c>
      <c r="C41" t="s">
        <v>208</v>
      </c>
      <c r="D41" t="s">
        <v>90</v>
      </c>
      <c r="E41">
        <v>0.91300000000000003</v>
      </c>
      <c r="F41">
        <v>0.88800000000000001</v>
      </c>
      <c r="G41">
        <v>0.9</v>
      </c>
      <c r="H41">
        <v>0.38400000000000001</v>
      </c>
      <c r="I41" t="s">
        <v>267</v>
      </c>
      <c r="J41" t="s">
        <v>268</v>
      </c>
      <c r="L41" s="2" cm="1">
        <f t="array" ref="L41">INDEX('ACF Scores'!M:M, MATCH(1, (B41='ACF Scores'!B:B)*(D41='ACF Scores'!D:D),0))</f>
        <v>7.3999999999999996E-2</v>
      </c>
    </row>
    <row r="42" spans="1:12" x14ac:dyDescent="0.2">
      <c r="A42" t="s">
        <v>128</v>
      </c>
      <c r="B42" t="s">
        <v>129</v>
      </c>
      <c r="C42" t="s">
        <v>33</v>
      </c>
      <c r="D42" t="s">
        <v>34</v>
      </c>
      <c r="E42">
        <v>0.871</v>
      </c>
      <c r="F42">
        <v>0.86299999999999999</v>
      </c>
      <c r="G42">
        <v>0.86699999999999999</v>
      </c>
      <c r="H42">
        <v>0.39300000000000002</v>
      </c>
      <c r="I42" t="s">
        <v>297</v>
      </c>
      <c r="J42" t="s">
        <v>232</v>
      </c>
      <c r="L42" s="2" cm="1">
        <f t="array" ref="L42">INDEX('ACF Scores'!M:M, MATCH(1, (B42='ACF Scores'!B:B)*(D42='ACF Scores'!D:D),0))</f>
        <v>0.50800000000000001</v>
      </c>
    </row>
    <row r="43" spans="1:12" x14ac:dyDescent="0.2">
      <c r="A43" t="s">
        <v>128</v>
      </c>
      <c r="B43" t="s">
        <v>129</v>
      </c>
      <c r="C43" t="s">
        <v>208</v>
      </c>
      <c r="D43" t="s">
        <v>93</v>
      </c>
      <c r="E43">
        <v>0.85299999999999998</v>
      </c>
      <c r="F43">
        <v>0.89600000000000002</v>
      </c>
      <c r="G43">
        <v>0.874</v>
      </c>
      <c r="H43">
        <v>0.39400000000000002</v>
      </c>
      <c r="I43" t="s">
        <v>316</v>
      </c>
      <c r="J43" t="s">
        <v>270</v>
      </c>
      <c r="L43" s="2" cm="1">
        <f t="array" ref="L43">INDEX('ACF Scores'!M:M, MATCH(1, (B43='ACF Scores'!B:B)*(D43='ACF Scores'!D:D),0))</f>
        <v>0.22700000000000001</v>
      </c>
    </row>
    <row r="44" spans="1:12" x14ac:dyDescent="0.2">
      <c r="A44" t="s">
        <v>128</v>
      </c>
      <c r="B44" t="s">
        <v>129</v>
      </c>
      <c r="C44" t="s">
        <v>64</v>
      </c>
      <c r="D44" t="s">
        <v>65</v>
      </c>
      <c r="E44">
        <v>0.85</v>
      </c>
      <c r="F44">
        <v>0.873</v>
      </c>
      <c r="G44">
        <v>0.86099999999999999</v>
      </c>
      <c r="H44">
        <v>0.39500000000000002</v>
      </c>
      <c r="I44" t="s">
        <v>307</v>
      </c>
      <c r="J44" t="s">
        <v>252</v>
      </c>
      <c r="L44" s="2" cm="1">
        <f t="array" ref="L44">INDEX('ACF Scores'!M:M, MATCH(1, (B44='ACF Scores'!B:B)*(D44='ACF Scores'!D:D),0))</f>
        <v>0.51500000000000001</v>
      </c>
    </row>
    <row r="45" spans="1:12" x14ac:dyDescent="0.2">
      <c r="A45" t="s">
        <v>166</v>
      </c>
      <c r="B45" t="s">
        <v>167</v>
      </c>
      <c r="C45" t="s">
        <v>33</v>
      </c>
      <c r="D45" t="s">
        <v>49</v>
      </c>
      <c r="E45">
        <v>0.88600000000000001</v>
      </c>
      <c r="F45">
        <v>0.91400000000000003</v>
      </c>
      <c r="G45">
        <v>0.9</v>
      </c>
      <c r="H45">
        <v>0.4</v>
      </c>
      <c r="I45" t="s">
        <v>338</v>
      </c>
      <c r="J45" t="s">
        <v>242</v>
      </c>
      <c r="L45" s="2" cm="1">
        <f t="array" ref="L45">INDEX('ACF Scores'!M:M, MATCH(1, (B45='ACF Scores'!B:B)*(D45='ACF Scores'!D:D),0))</f>
        <v>0.60099999999999998</v>
      </c>
    </row>
    <row r="46" spans="1:12" x14ac:dyDescent="0.2">
      <c r="A46" t="s">
        <v>166</v>
      </c>
      <c r="B46" t="s">
        <v>167</v>
      </c>
      <c r="C46" t="s">
        <v>105</v>
      </c>
      <c r="D46" t="s">
        <v>118</v>
      </c>
      <c r="E46">
        <v>0.85299999999999998</v>
      </c>
      <c r="F46">
        <v>0.90100000000000002</v>
      </c>
      <c r="G46">
        <v>0.876</v>
      </c>
      <c r="H46">
        <v>0.40300000000000002</v>
      </c>
      <c r="I46" t="s">
        <v>360</v>
      </c>
      <c r="J46" t="s">
        <v>286</v>
      </c>
      <c r="L46" s="2" cm="1">
        <f t="array" ref="L46">INDEX('ACF Scores'!M:M, MATCH(1, (B46='ACF Scores'!B:B)*(D46='ACF Scores'!D:D),0))</f>
        <v>0.58699999999999997</v>
      </c>
    </row>
    <row r="47" spans="1:12" x14ac:dyDescent="0.2">
      <c r="A47" t="s">
        <v>128</v>
      </c>
      <c r="B47" t="s">
        <v>129</v>
      </c>
      <c r="C47" t="s">
        <v>33</v>
      </c>
      <c r="D47" t="s">
        <v>46</v>
      </c>
      <c r="E47">
        <v>0.86099999999999999</v>
      </c>
      <c r="F47">
        <v>0.90200000000000002</v>
      </c>
      <c r="G47">
        <v>0.88100000000000001</v>
      </c>
      <c r="H47">
        <v>0.41399999999999998</v>
      </c>
      <c r="I47" t="s">
        <v>301</v>
      </c>
      <c r="J47" t="s">
        <v>240</v>
      </c>
      <c r="L47" s="2" cm="1">
        <f t="array" ref="L47">INDEX('ACF Scores'!M:M, MATCH(1, (B47='ACF Scores'!B:B)*(D47='ACF Scores'!D:D),0))</f>
        <v>0.56599999999999995</v>
      </c>
    </row>
    <row r="48" spans="1:12" x14ac:dyDescent="0.2">
      <c r="A48" t="s">
        <v>166</v>
      </c>
      <c r="B48" t="s">
        <v>167</v>
      </c>
      <c r="C48" t="s">
        <v>33</v>
      </c>
      <c r="D48" t="s">
        <v>61</v>
      </c>
      <c r="E48">
        <v>0.88800000000000001</v>
      </c>
      <c r="F48">
        <v>0.88400000000000001</v>
      </c>
      <c r="G48">
        <v>0.88600000000000001</v>
      </c>
      <c r="H48">
        <v>0.41799999999999998</v>
      </c>
      <c r="I48" t="s">
        <v>342</v>
      </c>
      <c r="J48" t="s">
        <v>250</v>
      </c>
      <c r="L48" s="2" cm="1">
        <f t="array" ref="L48">INDEX('ACF Scores'!M:M, MATCH(1, (B48='ACF Scores'!B:B)*(D48='ACF Scores'!D:D),0))</f>
        <v>0.23699999999999999</v>
      </c>
    </row>
    <row r="49" spans="1:12" x14ac:dyDescent="0.2">
      <c r="A49" t="s">
        <v>128</v>
      </c>
      <c r="B49" t="s">
        <v>129</v>
      </c>
      <c r="C49" t="s">
        <v>14</v>
      </c>
      <c r="D49" t="s">
        <v>15</v>
      </c>
      <c r="E49">
        <v>0.85599999999999998</v>
      </c>
      <c r="F49">
        <v>0.86699999999999999</v>
      </c>
      <c r="G49">
        <v>0.86099999999999999</v>
      </c>
      <c r="H49">
        <v>0.42099999999999999</v>
      </c>
      <c r="I49" t="s">
        <v>291</v>
      </c>
      <c r="J49" t="s">
        <v>220</v>
      </c>
      <c r="L49" s="2" cm="1">
        <f t="array" ref="L49">INDEX('ACF Scores'!M:M, MATCH(1, (B49='ACF Scores'!B:B)*(D49='ACF Scores'!D:D),0))</f>
        <v>0.68300000000000005</v>
      </c>
    </row>
    <row r="50" spans="1:12" x14ac:dyDescent="0.2">
      <c r="A50" t="s">
        <v>166</v>
      </c>
      <c r="B50" t="s">
        <v>167</v>
      </c>
      <c r="C50" t="s">
        <v>14</v>
      </c>
      <c r="D50" t="s">
        <v>27</v>
      </c>
      <c r="E50">
        <v>0.86299999999999999</v>
      </c>
      <c r="F50">
        <v>0.90200000000000002</v>
      </c>
      <c r="G50">
        <v>0.88200000000000001</v>
      </c>
      <c r="H50">
        <v>0.42099999999999999</v>
      </c>
      <c r="I50" t="s">
        <v>331</v>
      </c>
      <c r="J50" t="s">
        <v>228</v>
      </c>
      <c r="L50" s="2" cm="1">
        <f t="array" ref="L50">INDEX('ACF Scores'!M:M, MATCH(1, (B50='ACF Scores'!B:B)*(D50='ACF Scores'!D:D),0))</f>
        <v>0.69699999999999995</v>
      </c>
    </row>
    <row r="51" spans="1:12" x14ac:dyDescent="0.2">
      <c r="A51" t="s">
        <v>128</v>
      </c>
      <c r="B51" t="s">
        <v>129</v>
      </c>
      <c r="C51" t="s">
        <v>33</v>
      </c>
      <c r="D51" t="s">
        <v>52</v>
      </c>
      <c r="E51">
        <v>0.86299999999999999</v>
      </c>
      <c r="F51">
        <v>0.84799999999999998</v>
      </c>
      <c r="G51">
        <v>0.85599999999999998</v>
      </c>
      <c r="H51">
        <v>0.42599999999999999</v>
      </c>
      <c r="I51" t="s">
        <v>303</v>
      </c>
      <c r="J51" t="s">
        <v>244</v>
      </c>
      <c r="L51" s="2" cm="1">
        <f t="array" ref="L51">INDEX('ACF Scores'!M:M, MATCH(1, (B51='ACF Scores'!B:B)*(D51='ACF Scores'!D:D),0))</f>
        <v>0.69499999999999995</v>
      </c>
    </row>
    <row r="52" spans="1:12" x14ac:dyDescent="0.2">
      <c r="A52" t="s">
        <v>128</v>
      </c>
      <c r="B52" t="s">
        <v>129</v>
      </c>
      <c r="C52" t="s">
        <v>14</v>
      </c>
      <c r="D52" t="s">
        <v>18</v>
      </c>
      <c r="E52">
        <v>0.877</v>
      </c>
      <c r="F52">
        <v>0.90100000000000002</v>
      </c>
      <c r="G52">
        <v>0.88900000000000001</v>
      </c>
      <c r="H52">
        <v>0.42799999999999999</v>
      </c>
      <c r="I52" t="s">
        <v>292</v>
      </c>
      <c r="J52" t="s">
        <v>222</v>
      </c>
      <c r="L52" s="2" cm="1">
        <f t="array" ref="L52">INDEX('ACF Scores'!M:M, MATCH(1, (B52='ACF Scores'!B:B)*(D52='ACF Scores'!D:D),0))</f>
        <v>0.879</v>
      </c>
    </row>
    <row r="53" spans="1:12" x14ac:dyDescent="0.2">
      <c r="A53" t="s">
        <v>128</v>
      </c>
      <c r="B53" t="s">
        <v>129</v>
      </c>
      <c r="C53" t="s">
        <v>105</v>
      </c>
      <c r="D53" t="s">
        <v>118</v>
      </c>
      <c r="E53">
        <v>0.85599999999999998</v>
      </c>
      <c r="F53">
        <v>0.88900000000000001</v>
      </c>
      <c r="G53">
        <v>0.872</v>
      </c>
      <c r="H53">
        <v>0.42799999999999999</v>
      </c>
      <c r="I53" t="s">
        <v>324</v>
      </c>
      <c r="J53" t="s">
        <v>286</v>
      </c>
      <c r="L53" s="2" cm="1">
        <f t="array" ref="L53">INDEX('ACF Scores'!M:M, MATCH(1, (B53='ACF Scores'!B:B)*(D53='ACF Scores'!D:D),0))</f>
        <v>0.57699999999999996</v>
      </c>
    </row>
    <row r="54" spans="1:12" x14ac:dyDescent="0.2">
      <c r="A54" t="s">
        <v>166</v>
      </c>
      <c r="B54" t="s">
        <v>167</v>
      </c>
      <c r="C54" t="s">
        <v>208</v>
      </c>
      <c r="D54" t="s">
        <v>99</v>
      </c>
      <c r="E54">
        <v>0.86899999999999999</v>
      </c>
      <c r="F54">
        <v>0.88500000000000001</v>
      </c>
      <c r="G54">
        <v>0.877</v>
      </c>
      <c r="H54">
        <v>0.42799999999999999</v>
      </c>
      <c r="I54" t="s">
        <v>354</v>
      </c>
      <c r="J54" t="s">
        <v>274</v>
      </c>
      <c r="L54" s="2" cm="1">
        <f t="array" ref="L54">INDEX('ACF Scores'!M:M, MATCH(1, (B54='ACF Scores'!B:B)*(D54='ACF Scores'!D:D),0))</f>
        <v>0.629</v>
      </c>
    </row>
    <row r="55" spans="1:12" x14ac:dyDescent="0.2">
      <c r="A55" t="s">
        <v>128</v>
      </c>
      <c r="B55" t="s">
        <v>129</v>
      </c>
      <c r="C55" t="s">
        <v>208</v>
      </c>
      <c r="D55" t="s">
        <v>99</v>
      </c>
      <c r="E55">
        <v>0.86</v>
      </c>
      <c r="F55">
        <v>0.874</v>
      </c>
      <c r="G55">
        <v>0.86699999999999999</v>
      </c>
      <c r="H55">
        <v>0.43</v>
      </c>
      <c r="I55" t="s">
        <v>318</v>
      </c>
      <c r="J55" t="s">
        <v>274</v>
      </c>
      <c r="L55" s="2" cm="1">
        <f t="array" ref="L55">INDEX('ACF Scores'!M:M, MATCH(1, (B55='ACF Scores'!B:B)*(D55='ACF Scores'!D:D),0))</f>
        <v>0.74</v>
      </c>
    </row>
    <row r="56" spans="1:12" x14ac:dyDescent="0.2">
      <c r="A56" t="s">
        <v>166</v>
      </c>
      <c r="B56" t="s">
        <v>167</v>
      </c>
      <c r="C56" t="s">
        <v>14</v>
      </c>
      <c r="D56" t="s">
        <v>15</v>
      </c>
      <c r="E56">
        <v>0.874</v>
      </c>
      <c r="F56">
        <v>0.86599999999999999</v>
      </c>
      <c r="G56">
        <v>0.87</v>
      </c>
      <c r="H56">
        <v>0.43</v>
      </c>
      <c r="I56" t="s">
        <v>327</v>
      </c>
      <c r="J56" t="s">
        <v>220</v>
      </c>
      <c r="L56" s="2" cm="1">
        <f t="array" ref="L56">INDEX('ACF Scores'!M:M, MATCH(1, (B56='ACF Scores'!B:B)*(D56='ACF Scores'!D:D),0))</f>
        <v>0.70599999999999996</v>
      </c>
    </row>
    <row r="57" spans="1:12" x14ac:dyDescent="0.2">
      <c r="A57" t="s">
        <v>12</v>
      </c>
      <c r="B57" t="s">
        <v>13</v>
      </c>
      <c r="C57" t="s">
        <v>14</v>
      </c>
      <c r="D57" t="s">
        <v>15</v>
      </c>
      <c r="E57">
        <v>0.92800000000000005</v>
      </c>
      <c r="F57">
        <v>0.86799999999999999</v>
      </c>
      <c r="G57">
        <v>0.89700000000000002</v>
      </c>
      <c r="H57">
        <v>0.43099999999999999</v>
      </c>
      <c r="I57" t="s">
        <v>219</v>
      </c>
      <c r="J57" t="s">
        <v>220</v>
      </c>
      <c r="L57" s="2" cm="1">
        <f t="array" ref="L57">INDEX('ACF Scores'!M:M, MATCH(1, (B57='ACF Scores'!B:B)*(D57='ACF Scores'!D:D),0))</f>
        <v>0.63600000000000001</v>
      </c>
    </row>
    <row r="58" spans="1:12" x14ac:dyDescent="0.2">
      <c r="A58" t="s">
        <v>12</v>
      </c>
      <c r="B58" t="s">
        <v>13</v>
      </c>
      <c r="C58" t="s">
        <v>208</v>
      </c>
      <c r="D58" t="s">
        <v>81</v>
      </c>
      <c r="E58">
        <v>0.92600000000000005</v>
      </c>
      <c r="F58">
        <v>0.92500000000000004</v>
      </c>
      <c r="G58">
        <v>0.92600000000000005</v>
      </c>
      <c r="H58">
        <v>0.434</v>
      </c>
      <c r="I58" t="s">
        <v>261</v>
      </c>
      <c r="J58" t="s">
        <v>262</v>
      </c>
      <c r="L58" s="2" cm="1">
        <f t="array" ref="L58">INDEX('ACF Scores'!M:M, MATCH(1, (B58='ACF Scores'!B:B)*(D58='ACF Scores'!D:D),0))</f>
        <v>0.61799999999999999</v>
      </c>
    </row>
    <row r="59" spans="1:12" x14ac:dyDescent="0.2">
      <c r="A59" t="s">
        <v>166</v>
      </c>
      <c r="B59" t="s">
        <v>167</v>
      </c>
      <c r="C59" t="s">
        <v>105</v>
      </c>
      <c r="D59" t="s">
        <v>115</v>
      </c>
      <c r="E59">
        <v>0.879</v>
      </c>
      <c r="F59">
        <v>0.90300000000000002</v>
      </c>
      <c r="G59">
        <v>0.89100000000000001</v>
      </c>
      <c r="H59">
        <v>0.434</v>
      </c>
      <c r="I59" t="s">
        <v>359</v>
      </c>
      <c r="J59" t="s">
        <v>284</v>
      </c>
      <c r="L59" s="2" cm="1">
        <f t="array" ref="L59">INDEX('ACF Scores'!M:M, MATCH(1, (B59='ACF Scores'!B:B)*(D59='ACF Scores'!D:D),0))</f>
        <v>0.40699999999999997</v>
      </c>
    </row>
    <row r="60" spans="1:12" x14ac:dyDescent="0.2">
      <c r="A60" t="s">
        <v>166</v>
      </c>
      <c r="B60" t="s">
        <v>167</v>
      </c>
      <c r="C60" t="s">
        <v>208</v>
      </c>
      <c r="D60" t="s">
        <v>87</v>
      </c>
      <c r="E60">
        <v>0.88300000000000001</v>
      </c>
      <c r="F60">
        <v>0.88900000000000001</v>
      </c>
      <c r="G60">
        <v>0.88600000000000001</v>
      </c>
      <c r="H60">
        <v>0.436</v>
      </c>
      <c r="I60" t="s">
        <v>350</v>
      </c>
      <c r="J60" t="s">
        <v>266</v>
      </c>
      <c r="L60" s="2" cm="1">
        <f t="array" ref="L60">INDEX('ACF Scores'!M:M, MATCH(1, (B60='ACF Scores'!B:B)*(D60='ACF Scores'!D:D),0))</f>
        <v>0.621</v>
      </c>
    </row>
    <row r="61" spans="1:12" x14ac:dyDescent="0.2">
      <c r="A61" t="s">
        <v>128</v>
      </c>
      <c r="B61" t="s">
        <v>129</v>
      </c>
      <c r="C61" t="s">
        <v>64</v>
      </c>
      <c r="D61" t="s">
        <v>74</v>
      </c>
      <c r="E61">
        <v>0.85699999999999998</v>
      </c>
      <c r="F61">
        <v>0.875</v>
      </c>
      <c r="G61">
        <v>0.86599999999999999</v>
      </c>
      <c r="H61">
        <v>0.44700000000000001</v>
      </c>
      <c r="I61" t="s">
        <v>310</v>
      </c>
      <c r="J61" t="s">
        <v>258</v>
      </c>
      <c r="L61" s="2" cm="1">
        <f t="array" ref="L61">INDEX('ACF Scores'!M:M, MATCH(1, (B61='ACF Scores'!B:B)*(D61='ACF Scores'!D:D),0))</f>
        <v>0.38900000000000001</v>
      </c>
    </row>
    <row r="62" spans="1:12" x14ac:dyDescent="0.2">
      <c r="A62" t="s">
        <v>166</v>
      </c>
      <c r="B62" t="s">
        <v>167</v>
      </c>
      <c r="C62" t="s">
        <v>64</v>
      </c>
      <c r="D62" t="s">
        <v>71</v>
      </c>
      <c r="E62">
        <v>0.876</v>
      </c>
      <c r="F62">
        <v>0.93100000000000005</v>
      </c>
      <c r="G62">
        <v>0.90200000000000002</v>
      </c>
      <c r="H62">
        <v>0.44700000000000001</v>
      </c>
      <c r="I62" t="s">
        <v>345</v>
      </c>
      <c r="J62" t="s">
        <v>256</v>
      </c>
      <c r="L62" s="2" cm="1">
        <f t="array" ref="L62">INDEX('ACF Scores'!M:M, MATCH(1, (B62='ACF Scores'!B:B)*(D62='ACF Scores'!D:D),0))</f>
        <v>0.49199999999999999</v>
      </c>
    </row>
    <row r="63" spans="1:12" x14ac:dyDescent="0.2">
      <c r="A63" t="s">
        <v>166</v>
      </c>
      <c r="B63" t="s">
        <v>167</v>
      </c>
      <c r="C63" t="s">
        <v>208</v>
      </c>
      <c r="D63" t="s">
        <v>93</v>
      </c>
      <c r="E63">
        <v>0.86299999999999999</v>
      </c>
      <c r="F63">
        <v>0.91100000000000003</v>
      </c>
      <c r="G63">
        <v>0.88600000000000001</v>
      </c>
      <c r="H63">
        <v>0.44900000000000001</v>
      </c>
      <c r="I63" t="s">
        <v>352</v>
      </c>
      <c r="J63" t="s">
        <v>270</v>
      </c>
      <c r="L63" s="2" cm="1">
        <f t="array" ref="L63">INDEX('ACF Scores'!M:M, MATCH(1, (B63='ACF Scores'!B:B)*(D63='ACF Scores'!D:D),0))</f>
        <v>0.44900000000000001</v>
      </c>
    </row>
    <row r="64" spans="1:12" x14ac:dyDescent="0.2">
      <c r="A64" t="s">
        <v>166</v>
      </c>
      <c r="B64" t="s">
        <v>167</v>
      </c>
      <c r="C64" t="s">
        <v>33</v>
      </c>
      <c r="D64" t="s">
        <v>34</v>
      </c>
      <c r="E64">
        <v>0.88200000000000001</v>
      </c>
      <c r="F64">
        <v>0.86099999999999999</v>
      </c>
      <c r="G64">
        <v>0.871</v>
      </c>
      <c r="H64">
        <v>0.45200000000000001</v>
      </c>
      <c r="I64" t="s">
        <v>333</v>
      </c>
      <c r="J64" t="s">
        <v>232</v>
      </c>
      <c r="L64" s="2" cm="1">
        <f t="array" ref="L64">INDEX('ACF Scores'!M:M, MATCH(1, (B64='ACF Scores'!B:B)*(D64='ACF Scores'!D:D),0))</f>
        <v>0.433</v>
      </c>
    </row>
    <row r="65" spans="1:12" x14ac:dyDescent="0.2">
      <c r="A65" t="s">
        <v>12</v>
      </c>
      <c r="B65" t="s">
        <v>13</v>
      </c>
      <c r="C65" t="s">
        <v>14</v>
      </c>
      <c r="D65" t="s">
        <v>30</v>
      </c>
      <c r="E65">
        <v>0.90400000000000003</v>
      </c>
      <c r="F65">
        <v>0.88100000000000001</v>
      </c>
      <c r="G65">
        <v>0.89200000000000002</v>
      </c>
      <c r="H65">
        <v>0.46200000000000002</v>
      </c>
      <c r="I65" t="s">
        <v>229</v>
      </c>
      <c r="J65" t="s">
        <v>230</v>
      </c>
      <c r="L65" s="2" cm="1">
        <f t="array" ref="L65">INDEX('ACF Scores'!M:M, MATCH(1, (B65='ACF Scores'!B:B)*(D65='ACF Scores'!D:D),0))</f>
        <v>0.66400000000000003</v>
      </c>
    </row>
    <row r="66" spans="1:12" x14ac:dyDescent="0.2">
      <c r="A66" t="s">
        <v>166</v>
      </c>
      <c r="B66" t="s">
        <v>167</v>
      </c>
      <c r="C66" t="s">
        <v>121</v>
      </c>
      <c r="D66" t="s">
        <v>122</v>
      </c>
      <c r="E66">
        <v>0.9</v>
      </c>
      <c r="F66">
        <v>0.89100000000000001</v>
      </c>
      <c r="G66">
        <v>0.89500000000000002</v>
      </c>
      <c r="H66">
        <v>0.46400000000000002</v>
      </c>
      <c r="I66" t="s">
        <v>361</v>
      </c>
      <c r="J66" t="s">
        <v>288</v>
      </c>
      <c r="L66" s="2" cm="1">
        <f t="array" ref="L66">INDEX('ACF Scores'!M:M, MATCH(1, (B66='ACF Scores'!B:B)*(D66='ACF Scores'!D:D),0))</f>
        <v>0.54200000000000004</v>
      </c>
    </row>
    <row r="67" spans="1:12" x14ac:dyDescent="0.2">
      <c r="A67" t="s">
        <v>12</v>
      </c>
      <c r="B67" t="s">
        <v>13</v>
      </c>
      <c r="C67" t="s">
        <v>33</v>
      </c>
      <c r="D67" t="s">
        <v>52</v>
      </c>
      <c r="E67">
        <v>0.89700000000000002</v>
      </c>
      <c r="F67">
        <v>0.84499999999999997</v>
      </c>
      <c r="G67">
        <v>0.87</v>
      </c>
      <c r="H67">
        <v>0.47099999999999997</v>
      </c>
      <c r="I67" t="s">
        <v>243</v>
      </c>
      <c r="J67" t="s">
        <v>244</v>
      </c>
      <c r="L67" s="2" cm="1">
        <f t="array" ref="L67">INDEX('ACF Scores'!M:M, MATCH(1, (B67='ACF Scores'!B:B)*(D67='ACF Scores'!D:D),0))</f>
        <v>0.69199999999999995</v>
      </c>
    </row>
    <row r="68" spans="1:12" x14ac:dyDescent="0.2">
      <c r="A68" t="s">
        <v>128</v>
      </c>
      <c r="B68" t="s">
        <v>129</v>
      </c>
      <c r="C68" t="s">
        <v>208</v>
      </c>
      <c r="D68" t="s">
        <v>81</v>
      </c>
      <c r="E68">
        <v>0.84799999999999998</v>
      </c>
      <c r="F68">
        <v>0.90600000000000003</v>
      </c>
      <c r="G68">
        <v>0.876</v>
      </c>
      <c r="H68">
        <v>0.48</v>
      </c>
      <c r="I68" t="s">
        <v>312</v>
      </c>
      <c r="J68" t="s">
        <v>262</v>
      </c>
      <c r="L68" s="2" cm="1">
        <f t="array" ref="L68">INDEX('ACF Scores'!M:M, MATCH(1, (B68='ACF Scores'!B:B)*(D68='ACF Scores'!D:D),0))</f>
        <v>0.53500000000000003</v>
      </c>
    </row>
    <row r="69" spans="1:12" x14ac:dyDescent="0.2">
      <c r="A69" t="s">
        <v>12</v>
      </c>
      <c r="B69" t="s">
        <v>13</v>
      </c>
      <c r="C69" t="s">
        <v>33</v>
      </c>
      <c r="D69" t="s">
        <v>43</v>
      </c>
      <c r="E69">
        <v>0.94099999999999995</v>
      </c>
      <c r="F69">
        <v>0.93899999999999995</v>
      </c>
      <c r="G69">
        <v>0.94</v>
      </c>
      <c r="H69">
        <v>0.48099999999999998</v>
      </c>
      <c r="I69" t="s">
        <v>237</v>
      </c>
      <c r="J69" t="s">
        <v>238</v>
      </c>
      <c r="L69" s="2" cm="1">
        <f t="array" ref="L69">INDEX('ACF Scores'!M:M, MATCH(1, (B69='ACF Scores'!B:B)*(D69='ACF Scores'!D:D),0))</f>
        <v>0.61199999999999999</v>
      </c>
    </row>
    <row r="70" spans="1:12" x14ac:dyDescent="0.2">
      <c r="A70" t="s">
        <v>12</v>
      </c>
      <c r="B70" t="s">
        <v>13</v>
      </c>
      <c r="C70" t="s">
        <v>208</v>
      </c>
      <c r="D70" t="s">
        <v>99</v>
      </c>
      <c r="E70">
        <v>0.86699999999999999</v>
      </c>
      <c r="F70">
        <v>0.87</v>
      </c>
      <c r="G70">
        <v>0.86899999999999999</v>
      </c>
      <c r="H70">
        <v>0.48799999999999999</v>
      </c>
      <c r="I70" t="s">
        <v>273</v>
      </c>
      <c r="J70" t="s">
        <v>274</v>
      </c>
      <c r="L70" s="2" cm="1">
        <f t="array" ref="L70">INDEX('ACF Scores'!M:M, MATCH(1, (B70='ACF Scores'!B:B)*(D70='ACF Scores'!D:D),0))</f>
        <v>0.81200000000000006</v>
      </c>
    </row>
    <row r="71" spans="1:12" x14ac:dyDescent="0.2">
      <c r="A71" t="s">
        <v>128</v>
      </c>
      <c r="B71" t="s">
        <v>129</v>
      </c>
      <c r="C71" t="s">
        <v>14</v>
      </c>
      <c r="D71" t="s">
        <v>27</v>
      </c>
      <c r="E71">
        <v>0.871</v>
      </c>
      <c r="F71">
        <v>0.89300000000000002</v>
      </c>
      <c r="G71">
        <v>0.88200000000000001</v>
      </c>
      <c r="H71">
        <v>0.49099999999999999</v>
      </c>
      <c r="I71" t="s">
        <v>295</v>
      </c>
      <c r="J71" t="s">
        <v>228</v>
      </c>
      <c r="L71" s="2" cm="1">
        <f t="array" ref="L71">INDEX('ACF Scores'!M:M, MATCH(1, (B71='ACF Scores'!B:B)*(D71='ACF Scores'!D:D),0))</f>
        <v>0.58199999999999996</v>
      </c>
    </row>
    <row r="72" spans="1:12" x14ac:dyDescent="0.2">
      <c r="A72" t="s">
        <v>128</v>
      </c>
      <c r="B72" t="s">
        <v>129</v>
      </c>
      <c r="C72" t="s">
        <v>14</v>
      </c>
      <c r="D72" t="s">
        <v>30</v>
      </c>
      <c r="E72">
        <v>0.85299999999999998</v>
      </c>
      <c r="F72">
        <v>0.86099999999999999</v>
      </c>
      <c r="G72">
        <v>0.85699999999999998</v>
      </c>
      <c r="H72">
        <v>0.49199999999999999</v>
      </c>
      <c r="I72" t="s">
        <v>296</v>
      </c>
      <c r="J72" t="s">
        <v>230</v>
      </c>
      <c r="L72" s="2" cm="1">
        <f t="array" ref="L72">INDEX('ACF Scores'!M:M, MATCH(1, (B72='ACF Scores'!B:B)*(D72='ACF Scores'!D:D),0))</f>
        <v>0.71399999999999997</v>
      </c>
    </row>
    <row r="73" spans="1:12" x14ac:dyDescent="0.2">
      <c r="A73" t="s">
        <v>128</v>
      </c>
      <c r="B73" t="s">
        <v>129</v>
      </c>
      <c r="C73" t="s">
        <v>33</v>
      </c>
      <c r="D73" t="s">
        <v>40</v>
      </c>
      <c r="E73">
        <v>0.877</v>
      </c>
      <c r="F73">
        <v>0.90400000000000003</v>
      </c>
      <c r="G73">
        <v>0.89</v>
      </c>
      <c r="H73">
        <v>0.49199999999999999</v>
      </c>
      <c r="I73" t="s">
        <v>299</v>
      </c>
      <c r="J73" t="s">
        <v>236</v>
      </c>
      <c r="L73" s="2" cm="1">
        <f t="array" ref="L73">INDEX('ACF Scores'!M:M, MATCH(1, (B73='ACF Scores'!B:B)*(D73='ACF Scores'!D:D),0))</f>
        <v>0.73599999999999999</v>
      </c>
    </row>
    <row r="74" spans="1:12" x14ac:dyDescent="0.2">
      <c r="A74" t="s">
        <v>12</v>
      </c>
      <c r="B74" t="s">
        <v>13</v>
      </c>
      <c r="C74" t="s">
        <v>121</v>
      </c>
      <c r="D74" t="s">
        <v>125</v>
      </c>
      <c r="E74">
        <v>0.91600000000000004</v>
      </c>
      <c r="F74">
        <v>0.86799999999999999</v>
      </c>
      <c r="G74">
        <v>0.89100000000000001</v>
      </c>
      <c r="H74">
        <v>0.499</v>
      </c>
      <c r="I74" t="s">
        <v>289</v>
      </c>
      <c r="J74" t="s">
        <v>290</v>
      </c>
      <c r="L74" s="2" cm="1">
        <f t="array" ref="L74">INDEX('ACF Scores'!M:M, MATCH(1, (B74='ACF Scores'!B:B)*(D74='ACF Scores'!D:D),0))</f>
        <v>0.77</v>
      </c>
    </row>
    <row r="75" spans="1:12" x14ac:dyDescent="0.2">
      <c r="A75" t="s">
        <v>128</v>
      </c>
      <c r="B75" t="s">
        <v>129</v>
      </c>
      <c r="C75" t="s">
        <v>105</v>
      </c>
      <c r="D75" t="s">
        <v>112</v>
      </c>
      <c r="E75">
        <v>0.871</v>
      </c>
      <c r="F75">
        <v>0.91700000000000004</v>
      </c>
      <c r="G75">
        <v>0.89300000000000002</v>
      </c>
      <c r="H75">
        <v>0.502</v>
      </c>
      <c r="I75" t="s">
        <v>322</v>
      </c>
      <c r="J75" t="s">
        <v>282</v>
      </c>
      <c r="L75" s="2" cm="1">
        <f t="array" ref="L75">INDEX('ACF Scores'!M:M, MATCH(1, (B75='ACF Scores'!B:B)*(D75='ACF Scores'!D:D),0))</f>
        <v>0.80400000000000005</v>
      </c>
    </row>
    <row r="76" spans="1:12" x14ac:dyDescent="0.2">
      <c r="A76" t="s">
        <v>12</v>
      </c>
      <c r="B76" t="s">
        <v>13</v>
      </c>
      <c r="C76" t="s">
        <v>208</v>
      </c>
      <c r="D76" t="s">
        <v>96</v>
      </c>
      <c r="E76">
        <v>0.94099999999999995</v>
      </c>
      <c r="F76">
        <v>0.93799999999999994</v>
      </c>
      <c r="G76">
        <v>0.93899999999999995</v>
      </c>
      <c r="H76">
        <v>0.505</v>
      </c>
      <c r="I76" t="s">
        <v>271</v>
      </c>
      <c r="J76" t="s">
        <v>272</v>
      </c>
      <c r="L76" s="2" cm="1">
        <f t="array" ref="L76">INDEX('ACF Scores'!M:M, MATCH(1, (B76='ACF Scores'!B:B)*(D76='ACF Scores'!D:D),0))</f>
        <v>0.56699999999999995</v>
      </c>
    </row>
    <row r="77" spans="1:12" x14ac:dyDescent="0.2">
      <c r="A77" t="s">
        <v>128</v>
      </c>
      <c r="B77" t="s">
        <v>129</v>
      </c>
      <c r="C77" t="s">
        <v>105</v>
      </c>
      <c r="D77" t="s">
        <v>106</v>
      </c>
      <c r="E77">
        <v>0.85899999999999999</v>
      </c>
      <c r="F77">
        <v>0.874</v>
      </c>
      <c r="G77">
        <v>0.86699999999999999</v>
      </c>
      <c r="H77">
        <v>0.51400000000000001</v>
      </c>
      <c r="I77" t="s">
        <v>320</v>
      </c>
      <c r="J77" t="s">
        <v>278</v>
      </c>
      <c r="L77" s="2" cm="1">
        <f t="array" ref="L77">INDEX('ACF Scores'!M:M, MATCH(1, (B77='ACF Scores'!B:B)*(D77='ACF Scores'!D:D),0))</f>
        <v>0.45900000000000002</v>
      </c>
    </row>
    <row r="78" spans="1:12" x14ac:dyDescent="0.2">
      <c r="A78" t="s">
        <v>128</v>
      </c>
      <c r="B78" t="s">
        <v>129</v>
      </c>
      <c r="C78" t="s">
        <v>33</v>
      </c>
      <c r="D78" t="s">
        <v>49</v>
      </c>
      <c r="E78">
        <v>0.85799999999999998</v>
      </c>
      <c r="F78">
        <v>0.90100000000000002</v>
      </c>
      <c r="G78">
        <v>0.879</v>
      </c>
      <c r="H78">
        <v>0.52200000000000002</v>
      </c>
      <c r="I78" t="s">
        <v>302</v>
      </c>
      <c r="J78" t="s">
        <v>242</v>
      </c>
      <c r="L78" s="2" cm="1">
        <f t="array" ref="L78">INDEX('ACF Scores'!M:M, MATCH(1, (B78='ACF Scores'!B:B)*(D78='ACF Scores'!D:D),0))</f>
        <v>0.68300000000000005</v>
      </c>
    </row>
    <row r="79" spans="1:12" x14ac:dyDescent="0.2">
      <c r="A79" t="s">
        <v>128</v>
      </c>
      <c r="B79" t="s">
        <v>129</v>
      </c>
      <c r="C79" t="s">
        <v>64</v>
      </c>
      <c r="D79" t="s">
        <v>77</v>
      </c>
      <c r="E79">
        <v>0.85799999999999998</v>
      </c>
      <c r="F79">
        <v>0.88300000000000001</v>
      </c>
      <c r="G79">
        <v>0.87</v>
      </c>
      <c r="H79">
        <v>0.52300000000000002</v>
      </c>
      <c r="I79" t="s">
        <v>311</v>
      </c>
      <c r="J79" t="s">
        <v>260</v>
      </c>
      <c r="L79" s="2" cm="1">
        <f t="array" ref="L79">INDEX('ACF Scores'!M:M, MATCH(1, (B79='ACF Scores'!B:B)*(D79='ACF Scores'!D:D),0))</f>
        <v>0.59899999999999998</v>
      </c>
    </row>
    <row r="80" spans="1:12" x14ac:dyDescent="0.2">
      <c r="A80" t="s">
        <v>128</v>
      </c>
      <c r="B80" t="s">
        <v>129</v>
      </c>
      <c r="C80" t="s">
        <v>64</v>
      </c>
      <c r="D80" t="s">
        <v>68</v>
      </c>
      <c r="E80">
        <v>0.879</v>
      </c>
      <c r="F80">
        <v>0.91300000000000003</v>
      </c>
      <c r="G80">
        <v>0.89600000000000002</v>
      </c>
      <c r="H80">
        <v>0.52400000000000002</v>
      </c>
      <c r="I80" t="s">
        <v>308</v>
      </c>
      <c r="J80" t="s">
        <v>254</v>
      </c>
      <c r="L80" s="2" cm="1">
        <f t="array" ref="L80">INDEX('ACF Scores'!M:M, MATCH(1, (B80='ACF Scores'!B:B)*(D80='ACF Scores'!D:D),0))</f>
        <v>0.55800000000000005</v>
      </c>
    </row>
    <row r="81" spans="1:12" x14ac:dyDescent="0.2">
      <c r="A81" t="s">
        <v>128</v>
      </c>
      <c r="B81" t="s">
        <v>129</v>
      </c>
      <c r="C81" t="s">
        <v>33</v>
      </c>
      <c r="D81" t="s">
        <v>55</v>
      </c>
      <c r="E81">
        <v>0.84199999999999997</v>
      </c>
      <c r="F81">
        <v>0.86499999999999999</v>
      </c>
      <c r="G81">
        <v>0.85299999999999998</v>
      </c>
      <c r="H81">
        <v>0.53300000000000003</v>
      </c>
      <c r="I81" t="s">
        <v>304</v>
      </c>
      <c r="J81" t="s">
        <v>246</v>
      </c>
      <c r="L81" s="2" cm="1">
        <f t="array" ref="L81">INDEX('ACF Scores'!M:M, MATCH(1, (B81='ACF Scores'!B:B)*(D81='ACF Scores'!D:D),0))</f>
        <v>0.46600000000000003</v>
      </c>
    </row>
    <row r="82" spans="1:12" x14ac:dyDescent="0.2">
      <c r="A82" t="s">
        <v>166</v>
      </c>
      <c r="B82" t="s">
        <v>167</v>
      </c>
      <c r="C82" t="s">
        <v>14</v>
      </c>
      <c r="D82" t="s">
        <v>18</v>
      </c>
      <c r="E82">
        <v>0.88500000000000001</v>
      </c>
      <c r="F82">
        <v>0.92900000000000005</v>
      </c>
      <c r="G82">
        <v>0.90600000000000003</v>
      </c>
      <c r="H82">
        <v>0.54</v>
      </c>
      <c r="I82" t="s">
        <v>328</v>
      </c>
      <c r="J82" t="s">
        <v>222</v>
      </c>
      <c r="L82" s="2" cm="1">
        <f t="array" ref="L82">INDEX('ACF Scores'!M:M, MATCH(1, (B82='ACF Scores'!B:B)*(D82='ACF Scores'!D:D),0))</f>
        <v>0.90200000000000002</v>
      </c>
    </row>
    <row r="83" spans="1:12" x14ac:dyDescent="0.2">
      <c r="A83" t="s">
        <v>12</v>
      </c>
      <c r="B83" t="s">
        <v>13</v>
      </c>
      <c r="C83" t="s">
        <v>33</v>
      </c>
      <c r="D83" t="s">
        <v>55</v>
      </c>
      <c r="E83">
        <v>0.88700000000000001</v>
      </c>
      <c r="F83">
        <v>0.88</v>
      </c>
      <c r="G83">
        <v>0.88400000000000001</v>
      </c>
      <c r="H83">
        <v>0.54300000000000004</v>
      </c>
      <c r="I83" t="s">
        <v>245</v>
      </c>
      <c r="J83" t="s">
        <v>246</v>
      </c>
      <c r="L83" s="2" cm="1">
        <f t="array" ref="L83">INDEX('ACF Scores'!M:M, MATCH(1, (B83='ACF Scores'!B:B)*(D83='ACF Scores'!D:D),0))</f>
        <v>0.372</v>
      </c>
    </row>
    <row r="84" spans="1:12" x14ac:dyDescent="0.2">
      <c r="A84" t="s">
        <v>166</v>
      </c>
      <c r="B84" t="s">
        <v>167</v>
      </c>
      <c r="C84" t="s">
        <v>33</v>
      </c>
      <c r="D84" t="s">
        <v>37</v>
      </c>
      <c r="E84">
        <v>0.872</v>
      </c>
      <c r="F84">
        <v>0.95</v>
      </c>
      <c r="G84">
        <v>0.90900000000000003</v>
      </c>
      <c r="H84">
        <v>0.54300000000000004</v>
      </c>
      <c r="I84" t="s">
        <v>334</v>
      </c>
      <c r="J84" t="s">
        <v>234</v>
      </c>
      <c r="L84" s="2" cm="1">
        <f t="array" ref="L84">INDEX('ACF Scores'!M:M, MATCH(1, (B84='ACF Scores'!B:B)*(D84='ACF Scores'!D:D),0))</f>
        <v>0.51400000000000001</v>
      </c>
    </row>
    <row r="85" spans="1:12" x14ac:dyDescent="0.2">
      <c r="A85" t="s">
        <v>166</v>
      </c>
      <c r="B85" t="s">
        <v>167</v>
      </c>
      <c r="C85" t="s">
        <v>14</v>
      </c>
      <c r="D85" t="s">
        <v>24</v>
      </c>
      <c r="E85">
        <v>0.86</v>
      </c>
      <c r="F85">
        <v>0.94399999999999995</v>
      </c>
      <c r="G85">
        <v>0.9</v>
      </c>
      <c r="H85">
        <v>0.56000000000000005</v>
      </c>
      <c r="I85" t="s">
        <v>330</v>
      </c>
      <c r="J85" t="s">
        <v>226</v>
      </c>
      <c r="L85" s="2" cm="1">
        <f t="array" ref="L85">INDEX('ACF Scores'!M:M, MATCH(1, (B85='ACF Scores'!B:B)*(D85='ACF Scores'!D:D),0))</f>
        <v>0.46600000000000003</v>
      </c>
    </row>
    <row r="86" spans="1:12" x14ac:dyDescent="0.2">
      <c r="A86" t="s">
        <v>128</v>
      </c>
      <c r="B86" t="s">
        <v>129</v>
      </c>
      <c r="C86" t="s">
        <v>33</v>
      </c>
      <c r="D86" t="s">
        <v>58</v>
      </c>
      <c r="E86">
        <v>0.86099999999999999</v>
      </c>
      <c r="F86">
        <v>0.92100000000000004</v>
      </c>
      <c r="G86">
        <v>0.89</v>
      </c>
      <c r="H86">
        <v>0.57599999999999996</v>
      </c>
      <c r="I86" t="s">
        <v>305</v>
      </c>
      <c r="J86" t="s">
        <v>248</v>
      </c>
      <c r="L86" s="2" cm="1">
        <f t="array" ref="L86">INDEX('ACF Scores'!M:M, MATCH(1, (B86='ACF Scores'!B:B)*(D86='ACF Scores'!D:D),0))</f>
        <v>0.51400000000000001</v>
      </c>
    </row>
    <row r="87" spans="1:12" x14ac:dyDescent="0.2">
      <c r="A87" t="s">
        <v>166</v>
      </c>
      <c r="B87" t="s">
        <v>167</v>
      </c>
      <c r="C87" t="s">
        <v>208</v>
      </c>
      <c r="D87" t="s">
        <v>90</v>
      </c>
      <c r="E87">
        <v>0.88100000000000001</v>
      </c>
      <c r="F87">
        <v>0.90200000000000002</v>
      </c>
      <c r="G87">
        <v>0.89200000000000002</v>
      </c>
      <c r="H87">
        <v>0.57799999999999996</v>
      </c>
      <c r="I87" t="s">
        <v>351</v>
      </c>
      <c r="J87" t="s">
        <v>268</v>
      </c>
      <c r="L87" s="2" cm="1">
        <f t="array" ref="L87">INDEX('ACF Scores'!M:M, MATCH(1, (B87='ACF Scores'!B:B)*(D87='ACF Scores'!D:D),0))</f>
        <v>0.20699999999999999</v>
      </c>
    </row>
    <row r="88" spans="1:12" x14ac:dyDescent="0.2">
      <c r="A88" t="s">
        <v>166</v>
      </c>
      <c r="B88" t="s">
        <v>167</v>
      </c>
      <c r="C88" t="s">
        <v>64</v>
      </c>
      <c r="D88" t="s">
        <v>77</v>
      </c>
      <c r="E88">
        <v>0.90300000000000002</v>
      </c>
      <c r="F88">
        <v>0.92800000000000005</v>
      </c>
      <c r="G88">
        <v>0.91500000000000004</v>
      </c>
      <c r="H88">
        <v>0.59799999999999998</v>
      </c>
      <c r="I88" t="s">
        <v>347</v>
      </c>
      <c r="J88" t="s">
        <v>260</v>
      </c>
      <c r="L88" s="2" cm="1">
        <f t="array" ref="L88">INDEX('ACF Scores'!M:M, MATCH(1, (B88='ACF Scores'!B:B)*(D88='ACF Scores'!D:D),0))</f>
        <v>0.71699999999999997</v>
      </c>
    </row>
    <row r="89" spans="1:12" x14ac:dyDescent="0.2">
      <c r="A89" t="s">
        <v>166</v>
      </c>
      <c r="B89" t="s">
        <v>167</v>
      </c>
      <c r="C89" t="s">
        <v>33</v>
      </c>
      <c r="D89" t="s">
        <v>55</v>
      </c>
      <c r="E89">
        <v>0.88300000000000001</v>
      </c>
      <c r="F89">
        <v>0.90600000000000003</v>
      </c>
      <c r="G89">
        <v>0.89400000000000002</v>
      </c>
      <c r="H89">
        <v>0.61199999999999999</v>
      </c>
      <c r="I89" t="s">
        <v>340</v>
      </c>
      <c r="J89" t="s">
        <v>246</v>
      </c>
      <c r="L89" s="2" cm="1">
        <f t="array" ref="L89">INDEX('ACF Scores'!M:M, MATCH(1, (B89='ACF Scores'!B:B)*(D89='ACF Scores'!D:D),0))</f>
        <v>0.79500000000000004</v>
      </c>
    </row>
    <row r="90" spans="1:12" x14ac:dyDescent="0.2">
      <c r="A90" t="s">
        <v>166</v>
      </c>
      <c r="B90" t="s">
        <v>167</v>
      </c>
      <c r="C90" t="s">
        <v>105</v>
      </c>
      <c r="D90" t="s">
        <v>109</v>
      </c>
      <c r="E90">
        <v>0.88500000000000001</v>
      </c>
      <c r="F90">
        <v>0.89600000000000002</v>
      </c>
      <c r="G90">
        <v>0.89</v>
      </c>
      <c r="H90">
        <v>0.61799999999999999</v>
      </c>
      <c r="I90" t="s">
        <v>357</v>
      </c>
      <c r="J90" t="s">
        <v>280</v>
      </c>
      <c r="L90" s="2" cm="1">
        <f t="array" ref="L90">INDEX('ACF Scores'!M:M, MATCH(1, (B90='ACF Scores'!B:B)*(D90='ACF Scores'!D:D),0))</f>
        <v>0.67100000000000004</v>
      </c>
    </row>
    <row r="91" spans="1:12" x14ac:dyDescent="0.2">
      <c r="A91" t="s">
        <v>12</v>
      </c>
      <c r="B91" t="s">
        <v>13</v>
      </c>
      <c r="C91" t="s">
        <v>105</v>
      </c>
      <c r="D91" t="s">
        <v>112</v>
      </c>
      <c r="E91">
        <v>0.90900000000000003</v>
      </c>
      <c r="F91">
        <v>0.92400000000000004</v>
      </c>
      <c r="G91">
        <v>0.91600000000000004</v>
      </c>
      <c r="H91">
        <v>0.626</v>
      </c>
      <c r="I91" t="s">
        <v>281</v>
      </c>
      <c r="J91" t="s">
        <v>282</v>
      </c>
      <c r="L91" s="2" cm="1">
        <f t="array" ref="L91">INDEX('ACF Scores'!M:M, MATCH(1, (B91='ACF Scores'!B:B)*(D91='ACF Scores'!D:D),0))</f>
        <v>0.67</v>
      </c>
    </row>
    <row r="92" spans="1:12" x14ac:dyDescent="0.2">
      <c r="A92" t="s">
        <v>166</v>
      </c>
      <c r="B92" t="s">
        <v>167</v>
      </c>
      <c r="C92" t="s">
        <v>208</v>
      </c>
      <c r="D92" t="s">
        <v>84</v>
      </c>
      <c r="E92">
        <v>0.88300000000000001</v>
      </c>
      <c r="F92">
        <v>0.92600000000000005</v>
      </c>
      <c r="G92">
        <v>0.90400000000000003</v>
      </c>
      <c r="H92">
        <v>0.63200000000000001</v>
      </c>
      <c r="I92" t="s">
        <v>349</v>
      </c>
      <c r="J92" t="s">
        <v>264</v>
      </c>
      <c r="L92" s="2" cm="1">
        <f t="array" ref="L92">INDEX('ACF Scores'!M:M, MATCH(1, (B92='ACF Scores'!B:B)*(D92='ACF Scores'!D:D),0))</f>
        <v>0.73799999999999999</v>
      </c>
    </row>
    <row r="93" spans="1:12" x14ac:dyDescent="0.2">
      <c r="A93" t="s">
        <v>166</v>
      </c>
      <c r="B93" t="s">
        <v>167</v>
      </c>
      <c r="C93" t="s">
        <v>208</v>
      </c>
      <c r="D93" t="s">
        <v>102</v>
      </c>
      <c r="E93">
        <v>0.878</v>
      </c>
      <c r="F93">
        <v>0.88100000000000001</v>
      </c>
      <c r="G93">
        <v>0.88</v>
      </c>
      <c r="H93">
        <v>0.63500000000000001</v>
      </c>
      <c r="I93" t="s">
        <v>355</v>
      </c>
      <c r="J93" t="s">
        <v>276</v>
      </c>
      <c r="L93" s="2" cm="1">
        <f t="array" ref="L93">INDEX('ACF Scores'!M:M, MATCH(1, (B93='ACF Scores'!B:B)*(D93='ACF Scores'!D:D),0))</f>
        <v>0.72899999999999998</v>
      </c>
    </row>
    <row r="94" spans="1:12" x14ac:dyDescent="0.2">
      <c r="A94" t="s">
        <v>166</v>
      </c>
      <c r="B94" t="s">
        <v>167</v>
      </c>
      <c r="C94" t="s">
        <v>105</v>
      </c>
      <c r="D94" t="s">
        <v>112</v>
      </c>
      <c r="E94">
        <v>0.877</v>
      </c>
      <c r="F94">
        <v>0.92300000000000004</v>
      </c>
      <c r="G94">
        <v>0.9</v>
      </c>
      <c r="H94">
        <v>0.64900000000000002</v>
      </c>
      <c r="I94" t="s">
        <v>358</v>
      </c>
      <c r="J94" t="s">
        <v>282</v>
      </c>
      <c r="L94" s="2" cm="1">
        <f t="array" ref="L94">INDEX('ACF Scores'!M:M, MATCH(1, (B94='ACF Scores'!B:B)*(D94='ACF Scores'!D:D),0))</f>
        <v>0.83799999999999997</v>
      </c>
    </row>
    <row r="95" spans="1:12" x14ac:dyDescent="0.2">
      <c r="A95" t="s">
        <v>166</v>
      </c>
      <c r="B95" t="s">
        <v>167</v>
      </c>
      <c r="C95" t="s">
        <v>105</v>
      </c>
      <c r="D95" t="s">
        <v>106</v>
      </c>
      <c r="E95">
        <v>0.874</v>
      </c>
      <c r="F95">
        <v>0.89700000000000002</v>
      </c>
      <c r="G95">
        <v>0.88500000000000001</v>
      </c>
      <c r="H95">
        <v>0.65100000000000002</v>
      </c>
      <c r="I95" t="s">
        <v>356</v>
      </c>
      <c r="J95" t="s">
        <v>278</v>
      </c>
      <c r="L95" s="2" cm="1">
        <f t="array" ref="L95">INDEX('ACF Scores'!M:M, MATCH(1, (B95='ACF Scores'!B:B)*(D95='ACF Scores'!D:D),0))</f>
        <v>0.47299999999999998</v>
      </c>
    </row>
    <row r="96" spans="1:12" x14ac:dyDescent="0.2">
      <c r="A96" t="s">
        <v>12</v>
      </c>
      <c r="B96" t="s">
        <v>13</v>
      </c>
      <c r="C96" t="s">
        <v>64</v>
      </c>
      <c r="D96" t="s">
        <v>65</v>
      </c>
      <c r="E96">
        <v>0.93</v>
      </c>
      <c r="F96">
        <v>0.90700000000000003</v>
      </c>
      <c r="G96">
        <v>0.91800000000000004</v>
      </c>
      <c r="H96">
        <v>0.65400000000000003</v>
      </c>
      <c r="I96" t="s">
        <v>251</v>
      </c>
      <c r="J96" t="s">
        <v>252</v>
      </c>
      <c r="L96" s="2" cm="1">
        <f t="array" ref="L96">INDEX('ACF Scores'!M:M, MATCH(1, (B96='ACF Scores'!B:B)*(D96='ACF Scores'!D:D),0))</f>
        <v>0.502</v>
      </c>
    </row>
    <row r="97" spans="1:12" x14ac:dyDescent="0.2">
      <c r="A97" t="s">
        <v>166</v>
      </c>
      <c r="B97" t="s">
        <v>167</v>
      </c>
      <c r="C97" t="s">
        <v>33</v>
      </c>
      <c r="D97" t="s">
        <v>52</v>
      </c>
      <c r="E97">
        <v>0.89400000000000002</v>
      </c>
      <c r="F97">
        <v>0.86499999999999999</v>
      </c>
      <c r="G97">
        <v>0.879</v>
      </c>
      <c r="H97">
        <v>0.66200000000000003</v>
      </c>
      <c r="I97" t="s">
        <v>339</v>
      </c>
      <c r="J97" t="s">
        <v>244</v>
      </c>
      <c r="L97" s="2" cm="1">
        <f t="array" ref="L97">INDEX('ACF Scores'!M:M, MATCH(1, (B97='ACF Scores'!B:B)*(D97='ACF Scores'!D:D),0))</f>
        <v>0.55700000000000005</v>
      </c>
    </row>
    <row r="98" spans="1:12" x14ac:dyDescent="0.2">
      <c r="A98" t="s">
        <v>166</v>
      </c>
      <c r="B98" t="s">
        <v>167</v>
      </c>
      <c r="C98" t="s">
        <v>33</v>
      </c>
      <c r="D98" t="s">
        <v>43</v>
      </c>
      <c r="E98">
        <v>0.90200000000000002</v>
      </c>
      <c r="F98">
        <v>0.95</v>
      </c>
      <c r="G98">
        <v>0.92500000000000004</v>
      </c>
      <c r="H98">
        <v>0.66500000000000004</v>
      </c>
      <c r="I98" t="s">
        <v>336</v>
      </c>
      <c r="J98" t="s">
        <v>238</v>
      </c>
      <c r="L98" s="2" cm="1">
        <f t="array" ref="L98">INDEX('ACF Scores'!M:M, MATCH(1, (B98='ACF Scores'!B:B)*(D98='ACF Scores'!D:D),0))</f>
        <v>0.53900000000000003</v>
      </c>
    </row>
    <row r="99" spans="1:12" x14ac:dyDescent="0.2">
      <c r="A99" t="s">
        <v>166</v>
      </c>
      <c r="B99" t="s">
        <v>167</v>
      </c>
      <c r="C99" t="s">
        <v>121</v>
      </c>
      <c r="D99" t="s">
        <v>125</v>
      </c>
      <c r="E99">
        <v>0.90500000000000003</v>
      </c>
      <c r="F99">
        <v>0.89100000000000001</v>
      </c>
      <c r="G99">
        <v>0.89800000000000002</v>
      </c>
      <c r="H99">
        <v>0.67</v>
      </c>
      <c r="I99" t="s">
        <v>362</v>
      </c>
      <c r="J99" t="s">
        <v>290</v>
      </c>
      <c r="L99" s="2" cm="1">
        <f t="array" ref="L99">INDEX('ACF Scores'!M:M, MATCH(1, (B99='ACF Scores'!B:B)*(D99='ACF Scores'!D:D),0))</f>
        <v>0.42499999999999999</v>
      </c>
    </row>
    <row r="100" spans="1:12" x14ac:dyDescent="0.2">
      <c r="A100" t="s">
        <v>12</v>
      </c>
      <c r="B100" t="s">
        <v>13</v>
      </c>
      <c r="C100" t="s">
        <v>14</v>
      </c>
      <c r="D100" t="s">
        <v>18</v>
      </c>
      <c r="E100">
        <v>0.96599999999999997</v>
      </c>
      <c r="F100">
        <v>0.93</v>
      </c>
      <c r="G100">
        <v>0.94699999999999995</v>
      </c>
      <c r="H100">
        <v>0.68899999999999995</v>
      </c>
      <c r="I100" t="s">
        <v>221</v>
      </c>
      <c r="J100" t="s">
        <v>222</v>
      </c>
      <c r="L100" s="2" cm="1">
        <f t="array" ref="L100">INDEX('ACF Scores'!M:M, MATCH(1, (B100='ACF Scores'!B:B)*(D100='ACF Scores'!D:D),0))</f>
        <v>0.83899999999999997</v>
      </c>
    </row>
    <row r="101" spans="1:12" x14ac:dyDescent="0.2">
      <c r="A101" t="s">
        <v>166</v>
      </c>
      <c r="B101" t="s">
        <v>167</v>
      </c>
      <c r="C101" t="s">
        <v>33</v>
      </c>
      <c r="D101" t="s">
        <v>58</v>
      </c>
      <c r="E101">
        <v>0.89100000000000001</v>
      </c>
      <c r="F101">
        <v>0.94199999999999995</v>
      </c>
      <c r="G101">
        <v>0.91600000000000004</v>
      </c>
      <c r="H101">
        <v>0.68899999999999995</v>
      </c>
      <c r="I101" t="s">
        <v>341</v>
      </c>
      <c r="J101" t="s">
        <v>248</v>
      </c>
      <c r="L101" s="2" cm="1">
        <f t="array" ref="L101">INDEX('ACF Scores'!M:M, MATCH(1, (B101='ACF Scores'!B:B)*(D101='ACF Scores'!D:D),0))</f>
        <v>0.60799999999999998</v>
      </c>
    </row>
    <row r="102" spans="1:12" x14ac:dyDescent="0.2">
      <c r="A102" t="s">
        <v>166</v>
      </c>
      <c r="B102" t="s">
        <v>167</v>
      </c>
      <c r="C102" t="s">
        <v>64</v>
      </c>
      <c r="D102" t="s">
        <v>68</v>
      </c>
      <c r="E102">
        <v>0.90300000000000002</v>
      </c>
      <c r="F102">
        <v>0.97099999999999997</v>
      </c>
      <c r="G102">
        <v>0.93600000000000005</v>
      </c>
      <c r="H102">
        <v>0.68899999999999995</v>
      </c>
      <c r="I102" t="s">
        <v>344</v>
      </c>
      <c r="J102" t="s">
        <v>254</v>
      </c>
      <c r="L102" s="2" cm="1">
        <f t="array" ref="L102">INDEX('ACF Scores'!M:M, MATCH(1, (B102='ACF Scores'!B:B)*(D102='ACF Scores'!D:D),0))</f>
        <v>0.51300000000000001</v>
      </c>
    </row>
    <row r="103" spans="1:12" x14ac:dyDescent="0.2">
      <c r="A103" t="s">
        <v>166</v>
      </c>
      <c r="B103" t="s">
        <v>167</v>
      </c>
      <c r="C103" t="s">
        <v>64</v>
      </c>
      <c r="D103" t="s">
        <v>74</v>
      </c>
      <c r="E103">
        <v>0.90100000000000002</v>
      </c>
      <c r="F103">
        <v>0.93899999999999995</v>
      </c>
      <c r="G103">
        <v>0.92</v>
      </c>
      <c r="H103">
        <v>0.69699999999999995</v>
      </c>
      <c r="I103" t="s">
        <v>346</v>
      </c>
      <c r="J103" t="s">
        <v>258</v>
      </c>
      <c r="L103" s="2" cm="1">
        <f t="array" ref="L103">INDEX('ACF Scores'!M:M, MATCH(1, (B103='ACF Scores'!B:B)*(D103='ACF Scores'!D:D),0))</f>
        <v>0.54800000000000004</v>
      </c>
    </row>
    <row r="104" spans="1:12" x14ac:dyDescent="0.2">
      <c r="A104" t="s">
        <v>166</v>
      </c>
      <c r="B104" t="s">
        <v>167</v>
      </c>
      <c r="C104" t="s">
        <v>208</v>
      </c>
      <c r="D104" t="s">
        <v>81</v>
      </c>
      <c r="E104">
        <v>0.88600000000000001</v>
      </c>
      <c r="F104">
        <v>0.93100000000000005</v>
      </c>
      <c r="G104">
        <v>0.90800000000000003</v>
      </c>
      <c r="H104">
        <v>0.70599999999999996</v>
      </c>
      <c r="I104" t="s">
        <v>348</v>
      </c>
      <c r="J104" t="s">
        <v>262</v>
      </c>
      <c r="L104" s="2" cm="1">
        <f t="array" ref="L104">INDEX('ACF Scores'!M:M, MATCH(1, (B104='ACF Scores'!B:B)*(D104='ACF Scores'!D:D),0))</f>
        <v>0.503</v>
      </c>
    </row>
    <row r="105" spans="1:12" x14ac:dyDescent="0.2">
      <c r="A105" t="s">
        <v>166</v>
      </c>
      <c r="B105" t="s">
        <v>167</v>
      </c>
      <c r="C105" t="s">
        <v>33</v>
      </c>
      <c r="D105" t="s">
        <v>40</v>
      </c>
      <c r="E105">
        <v>0.90200000000000002</v>
      </c>
      <c r="F105">
        <v>0.91900000000000004</v>
      </c>
      <c r="G105">
        <v>0.91100000000000003</v>
      </c>
      <c r="H105">
        <v>0.70799999999999996</v>
      </c>
      <c r="I105" t="s">
        <v>335</v>
      </c>
      <c r="J105" t="s">
        <v>236</v>
      </c>
      <c r="L105" s="2" cm="1">
        <f t="array" ref="L105">INDEX('ACF Scores'!M:M, MATCH(1, (B105='ACF Scores'!B:B)*(D105='ACF Scores'!D:D),0))</f>
        <v>0.69</v>
      </c>
    </row>
    <row r="106" spans="1:12" x14ac:dyDescent="0.2">
      <c r="A106" t="s">
        <v>12</v>
      </c>
      <c r="B106" t="s">
        <v>13</v>
      </c>
      <c r="C106" t="s">
        <v>105</v>
      </c>
      <c r="D106" t="s">
        <v>106</v>
      </c>
      <c r="E106">
        <v>0.94</v>
      </c>
      <c r="F106">
        <v>0.88600000000000001</v>
      </c>
      <c r="G106">
        <v>0.91300000000000003</v>
      </c>
      <c r="H106">
        <v>0.72699999999999998</v>
      </c>
      <c r="I106" t="s">
        <v>277</v>
      </c>
      <c r="J106" t="s">
        <v>278</v>
      </c>
      <c r="L106" s="2" cm="1">
        <f t="array" ref="L106">INDEX('ACF Scores'!M:M, MATCH(1, (B106='ACF Scores'!B:B)*(D106='ACF Scores'!D:D),0))</f>
        <v>0.47</v>
      </c>
    </row>
    <row r="107" spans="1:12" x14ac:dyDescent="0.2">
      <c r="A107" t="s">
        <v>12</v>
      </c>
      <c r="B107" t="s">
        <v>13</v>
      </c>
      <c r="C107" t="s">
        <v>64</v>
      </c>
      <c r="D107" t="s">
        <v>74</v>
      </c>
      <c r="E107">
        <v>0.92500000000000004</v>
      </c>
      <c r="F107">
        <v>0.92500000000000004</v>
      </c>
      <c r="G107">
        <v>0.92500000000000004</v>
      </c>
      <c r="H107">
        <v>0.78600000000000003</v>
      </c>
      <c r="I107" t="s">
        <v>257</v>
      </c>
      <c r="J107" t="s">
        <v>258</v>
      </c>
      <c r="L107" s="2" cm="1">
        <f t="array" ref="L107">INDEX('ACF Scores'!M:M, MATCH(1, (B107='ACF Scores'!B:B)*(D107='ACF Scores'!D:D),0))</f>
        <v>0.27</v>
      </c>
    </row>
    <row r="108" spans="1:12" x14ac:dyDescent="0.2">
      <c r="A108" t="s">
        <v>12</v>
      </c>
      <c r="B108" t="s">
        <v>13</v>
      </c>
      <c r="C108" t="s">
        <v>33</v>
      </c>
      <c r="D108" t="s">
        <v>58</v>
      </c>
      <c r="E108">
        <v>0.96899999999999997</v>
      </c>
      <c r="F108">
        <v>0.95699999999999996</v>
      </c>
      <c r="G108">
        <v>0.96299999999999997</v>
      </c>
      <c r="H108">
        <v>0.82299999999999995</v>
      </c>
      <c r="I108" t="s">
        <v>247</v>
      </c>
      <c r="J108" t="s">
        <v>248</v>
      </c>
      <c r="L108" s="2" cm="1">
        <f t="array" ref="L108">INDEX('ACF Scores'!M:M, MATCH(1, (B108='ACF Scores'!B:B)*(D108='ACF Scores'!D:D),0))</f>
        <v>0.48899999999999999</v>
      </c>
    </row>
    <row r="109" spans="1:12" x14ac:dyDescent="0.2">
      <c r="A109" t="s">
        <v>12</v>
      </c>
      <c r="B109" t="s">
        <v>13</v>
      </c>
      <c r="C109" t="s">
        <v>64</v>
      </c>
      <c r="D109" t="s">
        <v>68</v>
      </c>
      <c r="E109">
        <v>0.98499999999999999</v>
      </c>
      <c r="F109">
        <v>0.96899999999999997</v>
      </c>
      <c r="G109">
        <v>0.97699999999999998</v>
      </c>
      <c r="H109">
        <v>0.88200000000000001</v>
      </c>
      <c r="I109" t="s">
        <v>253</v>
      </c>
      <c r="J109" t="s">
        <v>254</v>
      </c>
      <c r="L109" s="2" cm="1">
        <f t="array" ref="L109">INDEX('ACF Scores'!M:M, MATCH(1, (B109='ACF Scores'!B:B)*(D109='ACF Scores'!D:D),0))</f>
        <v>0.59899999999999998</v>
      </c>
    </row>
  </sheetData>
  <autoFilter ref="A1:J109" xr:uid="{6202EFEA-74B3-AB4F-B271-7019DE209ABF}">
    <sortState xmlns:xlrd2="http://schemas.microsoft.com/office/spreadsheetml/2017/richdata2" ref="A2:J109">
      <sortCondition ref="H1:H109"/>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8FCD4-9DCA-E74A-AB6B-469183CFB94C}">
  <dimension ref="A1:L20"/>
  <sheetViews>
    <sheetView workbookViewId="0">
      <selection activeCell="E33" sqref="E33"/>
    </sheetView>
  </sheetViews>
  <sheetFormatPr baseColWidth="10" defaultRowHeight="16" x14ac:dyDescent="0.2"/>
  <cols>
    <col min="1" max="1" width="31.5" bestFit="1" customWidth="1"/>
    <col min="2" max="2" width="26.1640625" bestFit="1" customWidth="1"/>
    <col min="3" max="3" width="23.33203125" bestFit="1" customWidth="1"/>
    <col min="4" max="4" width="11.6640625" bestFit="1" customWidth="1"/>
    <col min="8" max="8" width="31.5" bestFit="1" customWidth="1"/>
  </cols>
  <sheetData>
    <row r="1" spans="1:12" x14ac:dyDescent="0.2">
      <c r="B1" s="15" t="s">
        <v>371</v>
      </c>
      <c r="C1" s="15"/>
      <c r="D1" s="15"/>
    </row>
    <row r="2" spans="1:12" x14ac:dyDescent="0.2">
      <c r="A2" s="6" t="str" cm="1">
        <f t="array" ref="A2:A9">_xlfn.UNIQUE('ACF Scores'!C:C)</f>
        <v>Category</v>
      </c>
      <c r="B2" s="6" t="s">
        <v>129</v>
      </c>
      <c r="C2" s="6" t="s">
        <v>167</v>
      </c>
      <c r="D2" s="6" t="s">
        <v>13</v>
      </c>
      <c r="H2" s="6"/>
      <c r="I2" s="6"/>
      <c r="J2" s="6"/>
    </row>
    <row r="3" spans="1:12" ht="17" customHeight="1" x14ac:dyDescent="0.2">
      <c r="A3" t="str">
        <v>How (global)</v>
      </c>
      <c r="B3" s="4">
        <f>AVERAGEIFS('ACF Scores'!$O:$O,'ACF Scores'!$B:$B,Averages!B$2,'ACF Scores'!$C:$C,Averages!$A3)</f>
        <v>0.70070833333333327</v>
      </c>
      <c r="C3" s="4">
        <f>AVERAGEIFS('ACF Scores'!$O:$O,'ACF Scores'!$B:$B,Averages!C$2,'ACF Scores'!$C:$C,Averages!$A3)</f>
        <v>0.7016041666666667</v>
      </c>
      <c r="D3" s="4">
        <f>AVERAGEIFS('ACF Scores'!$O:$O,'ACF Scores'!$B:$B,Averages!D$2,'ACF Scores'!$C:$C,Averages!$A3)</f>
        <v>0.66739583333333341</v>
      </c>
      <c r="E3" s="4">
        <f>AVERAGE(B3:D3)</f>
        <v>0.68990277777777775</v>
      </c>
      <c r="I3" s="2"/>
      <c r="J3" s="2"/>
      <c r="L3" s="2"/>
    </row>
    <row r="4" spans="1:12" x14ac:dyDescent="0.2">
      <c r="A4" t="str">
        <v>Data</v>
      </c>
      <c r="B4" s="4">
        <f>AVERAGEIFS('ACF Scores'!$O:$O,'ACF Scores'!$B:$B,Averages!B$2,'ACF Scores'!$C:$C,Averages!$A4)</f>
        <v>0.71836111111111112</v>
      </c>
      <c r="C4" s="4">
        <f>AVERAGEIFS('ACF Scores'!$O:$O,'ACF Scores'!$B:$B,Averages!C$2,'ACF Scores'!$C:$C,Averages!$A4)</f>
        <v>0.77769444444444458</v>
      </c>
      <c r="D4" s="4">
        <f>AVERAGEIFS('ACF Scores'!$O:$O,'ACF Scores'!$B:$B,Averages!D$2,'ACF Scores'!$C:$C,Averages!$A4)</f>
        <v>0.78094444444444455</v>
      </c>
      <c r="E4" s="4">
        <f t="shared" ref="E4:E8" si="0">AVERAGE(B4:D4)</f>
        <v>0.75900000000000001</v>
      </c>
      <c r="I4" s="2"/>
      <c r="J4" s="2"/>
    </row>
    <row r="5" spans="1:12" x14ac:dyDescent="0.2">
      <c r="A5" t="str">
        <v>Output</v>
      </c>
      <c r="B5" s="4">
        <f>AVERAGEIFS('ACF Scores'!$O:$O,'ACF Scores'!$B:$B,Averages!B$2,'ACF Scores'!$C:$C,Averages!$A5)</f>
        <v>0.68638333333333335</v>
      </c>
      <c r="C5" s="4">
        <f>AVERAGEIFS('ACF Scores'!$O:$O,'ACF Scores'!$B:$B,Averages!C$2,'ACF Scores'!$C:$C,Averages!$A5)</f>
        <v>0.64373333333333327</v>
      </c>
      <c r="D5" s="4">
        <f>AVERAGEIFS('ACF Scores'!$O:$O,'ACF Scores'!$B:$B,Averages!D$2,'ACF Scores'!$C:$C,Averages!$A5)</f>
        <v>0.56274999999999997</v>
      </c>
      <c r="E5" s="4">
        <f t="shared" si="0"/>
        <v>0.63095555555555549</v>
      </c>
      <c r="I5" s="2"/>
      <c r="J5" s="2"/>
    </row>
    <row r="6" spans="1:12" x14ac:dyDescent="0.2">
      <c r="A6" t="str">
        <v>Others</v>
      </c>
      <c r="B6" s="4">
        <f>AVERAGEIFS('ACF Scores'!$O:$O,'ACF Scores'!$B:$B,Averages!B$2,'ACF Scores'!$C:$C,Averages!$A6)</f>
        <v>0.7727666666666666</v>
      </c>
      <c r="C6" s="4">
        <f>AVERAGEIFS('ACF Scores'!$O:$O,'ACF Scores'!$B:$B,Averages!C$2,'ACF Scores'!$C:$C,Averages!$A6)</f>
        <v>0.79549999999999998</v>
      </c>
      <c r="D6" s="4">
        <f>AVERAGEIFS('ACF Scores'!$O:$O,'ACF Scores'!$B:$B,Averages!D$2,'ACF Scores'!$C:$C,Averages!$A6)</f>
        <v>0.73373333333333335</v>
      </c>
      <c r="E6" s="4">
        <f t="shared" si="0"/>
        <v>0.76733333333333331</v>
      </c>
      <c r="I6" s="2"/>
      <c r="J6" s="2"/>
    </row>
    <row r="7" spans="1:12" x14ac:dyDescent="0.2">
      <c r="A7" t="str">
        <v>Performance</v>
      </c>
      <c r="B7" s="4">
        <f>AVERAGEIFS('ACF Scores'!$O:$O,'ACF Scores'!$B:$B,Averages!B$2,'ACF Scores'!$C:$C,Averages!$A7)</f>
        <v>0.73929999999999985</v>
      </c>
      <c r="C7" s="4">
        <f>AVERAGEIFS('ACF Scores'!$O:$O,'ACF Scores'!$B:$B,Averages!C$2,'ACF Scores'!$C:$C,Averages!$A7)</f>
        <v>0.69140000000000001</v>
      </c>
      <c r="D7" s="4">
        <f>AVERAGEIFS('ACF Scores'!$O:$O,'ACF Scores'!$B:$B,Averages!D$2,'ACF Scores'!$C:$C,Averages!$A7)</f>
        <v>0.67426666666666679</v>
      </c>
      <c r="E7" s="4">
        <f t="shared" si="0"/>
        <v>0.70165555555555559</v>
      </c>
      <c r="I7" s="2"/>
      <c r="J7" s="2"/>
    </row>
    <row r="8" spans="1:12" x14ac:dyDescent="0.2">
      <c r="A8" t="str">
        <v>UI</v>
      </c>
      <c r="B8" s="4">
        <f>AVERAGEIFS('ACF Scores'!$O:$O,'ACF Scores'!$B:$B,Averages!B$2,'ACF Scores'!$C:$C,Averages!$A8)</f>
        <v>0.78733333333333333</v>
      </c>
      <c r="C8" s="4">
        <f>AVERAGEIFS('ACF Scores'!$O:$O,'ACF Scores'!$B:$B,Averages!C$2,'ACF Scores'!$C:$C,Averages!$A8)</f>
        <v>0.63141666666666663</v>
      </c>
      <c r="D8" s="4">
        <f>AVERAGEIFS('ACF Scores'!$O:$O,'ACF Scores'!$B:$B,Averages!D$2,'ACF Scores'!$C:$C,Averages!$A8)</f>
        <v>0.8165</v>
      </c>
      <c r="E8" s="4">
        <f t="shared" si="0"/>
        <v>0.74508333333333321</v>
      </c>
      <c r="I8" s="2"/>
      <c r="J8" s="2"/>
    </row>
    <row r="9" spans="1:12" x14ac:dyDescent="0.2">
      <c r="A9">
        <v>0</v>
      </c>
    </row>
    <row r="11" spans="1:12" x14ac:dyDescent="0.2">
      <c r="B11" s="15" t="s">
        <v>214</v>
      </c>
      <c r="C11" s="15"/>
      <c r="D11" s="15"/>
    </row>
    <row r="12" spans="1:12" x14ac:dyDescent="0.2">
      <c r="A12" s="6" t="str" cm="1">
        <f t="array" ref="A12:A20">_xlfn.UNIQUE('Readability All Scores'!B:B)</f>
        <v>Category</v>
      </c>
      <c r="B12" s="6" t="s">
        <v>129</v>
      </c>
      <c r="C12" s="6" t="s">
        <v>167</v>
      </c>
      <c r="D12" s="6" t="s">
        <v>13</v>
      </c>
    </row>
    <row r="13" spans="1:12" x14ac:dyDescent="0.2">
      <c r="A13" t="str">
        <v>Data</v>
      </c>
      <c r="B13" s="5">
        <f>AVERAGEIFS('Readability All Scores'!$F:$F,'Readability All Scores'!$A:$A,Averages!B$12,'Readability All Scores'!$B:$B,Averages!$A13)</f>
        <v>13.67375</v>
      </c>
      <c r="C13" s="5">
        <f>AVERAGEIFS('Readability All Scores'!$F:$F,'Readability All Scores'!$A:$A,Averages!C$12,'Readability All Scores'!$B:$B,Averages!$A13)</f>
        <v>16.170833333333334</v>
      </c>
      <c r="D13" s="5">
        <f>AVERAGEIFS('Readability All Scores'!$F:$F,'Readability All Scores'!$A:$A,Averages!D$12,'Readability All Scores'!$B:$B,Averages!$A13)</f>
        <v>14.086750000000002</v>
      </c>
      <c r="E13" s="5">
        <f>AVERAGE(B13:D13)</f>
        <v>14.643777777777778</v>
      </c>
    </row>
    <row r="14" spans="1:12" x14ac:dyDescent="0.2">
      <c r="A14" t="str">
        <v>Output</v>
      </c>
      <c r="B14" s="5">
        <f>AVERAGEIFS('Readability All Scores'!$F:$F,'Readability All Scores'!$A:$A,Averages!B$12,'Readability All Scores'!$B:$B,Averages!$A14)</f>
        <v>15.723025000000003</v>
      </c>
      <c r="C14" s="5">
        <f>AVERAGEIFS('Readability All Scores'!$F:$F,'Readability All Scores'!$A:$A,Averages!C$12,'Readability All Scores'!$B:$B,Averages!$A14)</f>
        <v>16.012125000000001</v>
      </c>
      <c r="D14" s="5">
        <f>AVERAGEIFS('Readability All Scores'!$F:$F,'Readability All Scores'!$A:$A,Averages!D$12,'Readability All Scores'!$B:$B,Averages!$A14)</f>
        <v>13.542549999999997</v>
      </c>
      <c r="E14" s="5">
        <f t="shared" ref="E14:E18" si="1">AVERAGE(B14:D14)</f>
        <v>15.092566666666668</v>
      </c>
    </row>
    <row r="15" spans="1:12" x14ac:dyDescent="0.2">
      <c r="A15" t="str">
        <v>Performance</v>
      </c>
      <c r="B15" s="5">
        <f>AVERAGEIFS('Readability All Scores'!$F:$F,'Readability All Scores'!$A:$A,Averages!B$12,'Readability All Scores'!$B:$B,Averages!$A15)</f>
        <v>13.463999999999999</v>
      </c>
      <c r="C15" s="5">
        <f>AVERAGEIFS('Readability All Scores'!$F:$F,'Readability All Scores'!$A:$A,Averages!C$12,'Readability All Scores'!$B:$B,Averages!$A15)</f>
        <v>15.38815</v>
      </c>
      <c r="D15" s="5">
        <f>AVERAGEIFS('Readability All Scores'!$F:$F,'Readability All Scores'!$A:$A,Averages!D$12,'Readability All Scores'!$B:$B,Averages!$A15)</f>
        <v>11.225999999999997</v>
      </c>
      <c r="E15" s="5">
        <f t="shared" si="1"/>
        <v>13.359383333333332</v>
      </c>
    </row>
    <row r="16" spans="1:12" x14ac:dyDescent="0.2">
      <c r="A16" t="str">
        <v>How (global)</v>
      </c>
      <c r="B16" s="5">
        <f>AVERAGEIFS('Readability All Scores'!$F:$F,'Readability All Scores'!$A:$A,Averages!B$12,'Readability All Scores'!$B:$B,Averages!$A16)</f>
        <v>15.346656250000001</v>
      </c>
      <c r="C16" s="5">
        <f>AVERAGEIFS('Readability All Scores'!$F:$F,'Readability All Scores'!$A:$A,Averages!C$12,'Readability All Scores'!$B:$B,Averages!$A16)</f>
        <v>16.899031250000004</v>
      </c>
      <c r="D16" s="5">
        <f>AVERAGEIFS('Readability All Scores'!$F:$F,'Readability All Scores'!$A:$A,Averages!D$12,'Readability All Scores'!$B:$B,Averages!$A16)</f>
        <v>16.378062500000002</v>
      </c>
      <c r="E16" s="5">
        <f t="shared" si="1"/>
        <v>16.207916666666666</v>
      </c>
    </row>
    <row r="17" spans="1:5" x14ac:dyDescent="0.2">
      <c r="A17" t="str">
        <v>Others</v>
      </c>
      <c r="B17" s="5">
        <f>AVERAGEIFS('Readability All Scores'!$F:$F,'Readability All Scores'!$A:$A,Averages!B$12,'Readability All Scores'!$B:$B,Averages!$A17)</f>
        <v>14.239900000000002</v>
      </c>
      <c r="C17" s="5">
        <f>AVERAGEIFS('Readability All Scores'!$F:$F,'Readability All Scores'!$A:$A,Averages!C$12,'Readability All Scores'!$B:$B,Averages!$A17)</f>
        <v>15.31625</v>
      </c>
      <c r="D17" s="5">
        <f>AVERAGEIFS('Readability All Scores'!$F:$F,'Readability All Scores'!$A:$A,Averages!D$12,'Readability All Scores'!$B:$B,Averages!$A17)</f>
        <v>13.271000000000001</v>
      </c>
      <c r="E17" s="5">
        <f t="shared" si="1"/>
        <v>14.275716666666668</v>
      </c>
    </row>
    <row r="18" spans="1:5" x14ac:dyDescent="0.2">
      <c r="A18" t="str">
        <v>UI</v>
      </c>
      <c r="B18" s="5">
        <f>AVERAGEIFS('Readability All Scores'!$F:$F,'Readability All Scores'!$A:$A,Averages!B$12,'Readability All Scores'!$B:$B,Averages!$A18)</f>
        <v>16.092500000000001</v>
      </c>
      <c r="C18" s="5">
        <f>AVERAGEIFS('Readability All Scores'!$F:$F,'Readability All Scores'!$A:$A,Averages!C$12,'Readability All Scores'!$B:$B,Averages!$A18)</f>
        <v>27.914125000000002</v>
      </c>
      <c r="D18" s="5">
        <f>AVERAGEIFS('Readability All Scores'!$F:$F,'Readability All Scores'!$A:$A,Averages!D$12,'Readability All Scores'!$B:$B,Averages!$A18)</f>
        <v>10.873250000000001</v>
      </c>
      <c r="E18" s="5">
        <f t="shared" si="1"/>
        <v>18.293291666666665</v>
      </c>
    </row>
    <row r="19" spans="1:5" x14ac:dyDescent="0.2">
      <c r="A19" t="str">
        <v>How (global model-wide explanation)</v>
      </c>
    </row>
    <row r="20" spans="1:5" x14ac:dyDescent="0.2">
      <c r="A20">
        <v>0</v>
      </c>
    </row>
  </sheetData>
  <mergeCells count="2">
    <mergeCell ref="B1:D1"/>
    <mergeCell ref="B11:D11"/>
  </mergeCells>
  <conditionalFormatting sqref="I3:I8">
    <cfRule type="colorScale" priority="2">
      <colorScale>
        <cfvo type="min"/>
        <cfvo type="percentile" val="50"/>
        <cfvo type="max"/>
        <color rgb="FFF8696B"/>
        <color rgb="FFFFEB84"/>
        <color rgb="FF63BE7B"/>
      </colorScale>
    </cfRule>
  </conditionalFormatting>
  <conditionalFormatting sqref="J3:J8">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1844F-5D9C-3145-B962-35D45519DA72}">
  <dimension ref="A1:S37"/>
  <sheetViews>
    <sheetView workbookViewId="0">
      <selection activeCell="C2" sqref="C2"/>
    </sheetView>
  </sheetViews>
  <sheetFormatPr baseColWidth="10" defaultRowHeight="16" x14ac:dyDescent="0.2"/>
  <cols>
    <col min="1" max="1" width="11.5" bestFit="1" customWidth="1"/>
    <col min="2" max="2" width="62.83203125" bestFit="1" customWidth="1"/>
    <col min="3" max="3" width="22.6640625" style="3" bestFit="1" customWidth="1"/>
    <col min="4" max="4" width="5.33203125" bestFit="1" customWidth="1"/>
    <col min="6" max="6" width="11.5" bestFit="1" customWidth="1"/>
    <col min="7" max="7" width="62.83203125" bestFit="1" customWidth="1"/>
    <col min="8" max="8" width="26.5" style="2" bestFit="1" customWidth="1"/>
    <col min="9" max="9" width="7.83203125" bestFit="1" customWidth="1"/>
    <col min="12" max="12" width="8.6640625" bestFit="1" customWidth="1"/>
    <col min="14" max="14" width="11.5" bestFit="1" customWidth="1"/>
    <col min="15" max="15" width="62.83203125" bestFit="1" customWidth="1"/>
    <col min="16" max="16" width="20.1640625" style="3" bestFit="1" customWidth="1"/>
    <col min="17" max="17" width="10.33203125" bestFit="1" customWidth="1"/>
    <col min="18" max="18" width="19.1640625" style="2" bestFit="1" customWidth="1"/>
    <col min="19" max="19" width="10.33203125" bestFit="1" customWidth="1"/>
  </cols>
  <sheetData>
    <row r="1" spans="1:19" x14ac:dyDescent="0.2">
      <c r="A1" s="6" t="s">
        <v>2</v>
      </c>
      <c r="B1" s="6" t="s">
        <v>3</v>
      </c>
      <c r="C1" s="8" t="s">
        <v>372</v>
      </c>
      <c r="D1" s="6" t="s">
        <v>215</v>
      </c>
      <c r="F1" s="6" t="s">
        <v>2</v>
      </c>
      <c r="G1" s="6" t="s">
        <v>3</v>
      </c>
      <c r="H1" s="7" t="s">
        <v>216</v>
      </c>
      <c r="I1" s="6" t="s">
        <v>215</v>
      </c>
      <c r="L1" s="6" t="s">
        <v>370</v>
      </c>
      <c r="M1" s="6" t="s">
        <v>368</v>
      </c>
      <c r="N1" s="10" t="s">
        <v>2</v>
      </c>
      <c r="O1" s="10" t="s">
        <v>3</v>
      </c>
      <c r="P1" s="11" t="s">
        <v>364</v>
      </c>
      <c r="Q1" s="12" t="s">
        <v>215</v>
      </c>
      <c r="R1" s="13" t="s">
        <v>365</v>
      </c>
      <c r="S1" s="12" t="s">
        <v>215</v>
      </c>
    </row>
    <row r="2" spans="1:19" x14ac:dyDescent="0.2">
      <c r="A2" t="s">
        <v>14</v>
      </c>
      <c r="B2" t="s">
        <v>18</v>
      </c>
      <c r="C2" s="3">
        <v>0.90888888888888897</v>
      </c>
      <c r="D2">
        <v>1</v>
      </c>
      <c r="F2" t="s">
        <v>105</v>
      </c>
      <c r="G2" t="s">
        <v>109</v>
      </c>
      <c r="H2" s="2">
        <v>11.312666666666667</v>
      </c>
      <c r="I2">
        <v>1</v>
      </c>
      <c r="J2">
        <f>INDEX(C:C,MATCH(G2,B:B,0))</f>
        <v>0.80900000000000005</v>
      </c>
      <c r="M2">
        <v>1</v>
      </c>
      <c r="N2" t="str">
        <f t="shared" ref="N2:N37" si="0">INDEX(F:F,MATCH(O2,G:G,0))</f>
        <v>Data</v>
      </c>
      <c r="O2" t="s">
        <v>18</v>
      </c>
      <c r="P2" s="3">
        <f t="shared" ref="P2:P37" si="1">INDEX(C:C,MATCH(O2,B:B,0))</f>
        <v>0.90888888888888897</v>
      </c>
      <c r="Q2">
        <f t="shared" ref="Q2:Q37" si="2">INDEX(D:D,MATCH(O2,B:B,0))</f>
        <v>1</v>
      </c>
      <c r="R2" s="2">
        <f t="shared" ref="R2:R37" si="3">INDEX(H:H,MATCH(O2,G:G,0))</f>
        <v>15.707166666666666</v>
      </c>
      <c r="S2">
        <f t="shared" ref="S2:S37" si="4">INDEX(I:I,MATCH(O2,G:G,0))</f>
        <v>24</v>
      </c>
    </row>
    <row r="3" spans="1:19" x14ac:dyDescent="0.2">
      <c r="A3" t="s">
        <v>80</v>
      </c>
      <c r="B3" t="s">
        <v>99</v>
      </c>
      <c r="C3" s="3">
        <v>0.88922222222222225</v>
      </c>
      <c r="D3">
        <v>2</v>
      </c>
      <c r="F3" t="s">
        <v>64</v>
      </c>
      <c r="G3" t="s">
        <v>65</v>
      </c>
      <c r="H3" s="2">
        <v>11.561583333333333</v>
      </c>
      <c r="I3">
        <v>2</v>
      </c>
      <c r="J3">
        <f t="shared" ref="J3:J37" si="5">INDEX(D:D,MATCH(G3,B:B,0))</f>
        <v>19</v>
      </c>
      <c r="M3">
        <v>2</v>
      </c>
      <c r="N3" t="str">
        <f t="shared" si="0"/>
        <v>How (global)</v>
      </c>
      <c r="O3" t="s">
        <v>99</v>
      </c>
      <c r="P3" s="3">
        <f t="shared" si="1"/>
        <v>0.88922222222222225</v>
      </c>
      <c r="Q3">
        <f t="shared" si="2"/>
        <v>2</v>
      </c>
      <c r="R3" s="2">
        <f t="shared" si="3"/>
        <v>16.501583333333333</v>
      </c>
      <c r="S3">
        <f t="shared" si="4"/>
        <v>27</v>
      </c>
    </row>
    <row r="4" spans="1:19" x14ac:dyDescent="0.2">
      <c r="A4" t="s">
        <v>105</v>
      </c>
      <c r="B4" t="s">
        <v>118</v>
      </c>
      <c r="C4" s="3">
        <v>0.86788888888888893</v>
      </c>
      <c r="D4">
        <v>3</v>
      </c>
      <c r="F4" t="s">
        <v>33</v>
      </c>
      <c r="G4" t="s">
        <v>61</v>
      </c>
      <c r="H4" s="2">
        <v>12.409083333333333</v>
      </c>
      <c r="I4">
        <v>3</v>
      </c>
      <c r="J4">
        <f t="shared" si="5"/>
        <v>27</v>
      </c>
      <c r="L4" t="s">
        <v>369</v>
      </c>
      <c r="M4">
        <v>3</v>
      </c>
      <c r="N4" t="str">
        <f t="shared" si="0"/>
        <v>Others</v>
      </c>
      <c r="O4" t="s">
        <v>118</v>
      </c>
      <c r="P4" s="3">
        <f t="shared" si="1"/>
        <v>0.86788888888888893</v>
      </c>
      <c r="Q4">
        <f t="shared" si="2"/>
        <v>3</v>
      </c>
      <c r="R4" s="2">
        <f t="shared" si="3"/>
        <v>14.925500000000001</v>
      </c>
      <c r="S4">
        <f t="shared" si="4"/>
        <v>17</v>
      </c>
    </row>
    <row r="5" spans="1:19" x14ac:dyDescent="0.2">
      <c r="A5" t="s">
        <v>80</v>
      </c>
      <c r="B5" t="s">
        <v>96</v>
      </c>
      <c r="C5" s="3">
        <v>0.84722222222222232</v>
      </c>
      <c r="D5">
        <v>4</v>
      </c>
      <c r="F5" t="s">
        <v>14</v>
      </c>
      <c r="G5" t="s">
        <v>24</v>
      </c>
      <c r="H5" s="2">
        <v>12.422666666666666</v>
      </c>
      <c r="I5">
        <v>4</v>
      </c>
      <c r="J5">
        <f t="shared" si="5"/>
        <v>24</v>
      </c>
      <c r="M5">
        <v>4</v>
      </c>
      <c r="N5" t="str">
        <f t="shared" si="0"/>
        <v>How (global)</v>
      </c>
      <c r="O5" t="s">
        <v>96</v>
      </c>
      <c r="P5" s="3">
        <f t="shared" si="1"/>
        <v>0.84722222222222232</v>
      </c>
      <c r="Q5">
        <f t="shared" si="2"/>
        <v>4</v>
      </c>
      <c r="R5" s="2">
        <f t="shared" si="3"/>
        <v>17.754749999999998</v>
      </c>
      <c r="S5">
        <f t="shared" si="4"/>
        <v>34</v>
      </c>
    </row>
    <row r="6" spans="1:19" x14ac:dyDescent="0.2">
      <c r="A6" t="s">
        <v>14</v>
      </c>
      <c r="B6" t="s">
        <v>15</v>
      </c>
      <c r="C6" s="3">
        <v>0.83977777777777785</v>
      </c>
      <c r="D6">
        <v>5</v>
      </c>
      <c r="F6" t="s">
        <v>64</v>
      </c>
      <c r="G6" t="s">
        <v>77</v>
      </c>
      <c r="H6" s="2">
        <v>13.122999999999999</v>
      </c>
      <c r="I6">
        <v>5</v>
      </c>
      <c r="J6">
        <f t="shared" si="5"/>
        <v>10</v>
      </c>
      <c r="M6">
        <v>5</v>
      </c>
      <c r="N6" t="str">
        <f t="shared" si="0"/>
        <v>Data</v>
      </c>
      <c r="O6" t="s">
        <v>15</v>
      </c>
      <c r="P6" s="3">
        <f t="shared" si="1"/>
        <v>0.83977777777777785</v>
      </c>
      <c r="Q6">
        <f t="shared" si="2"/>
        <v>5</v>
      </c>
      <c r="R6" s="2">
        <f t="shared" si="3"/>
        <v>13.609333333333334</v>
      </c>
      <c r="S6">
        <f t="shared" si="4"/>
        <v>9</v>
      </c>
    </row>
    <row r="7" spans="1:19" x14ac:dyDescent="0.2">
      <c r="A7" t="s">
        <v>80</v>
      </c>
      <c r="B7" t="s">
        <v>81</v>
      </c>
      <c r="C7" s="3">
        <v>0.83522222222222231</v>
      </c>
      <c r="D7">
        <v>6</v>
      </c>
      <c r="F7" t="s">
        <v>105</v>
      </c>
      <c r="G7" t="s">
        <v>106</v>
      </c>
      <c r="H7" s="2">
        <v>13.126333333333335</v>
      </c>
      <c r="I7">
        <v>6</v>
      </c>
      <c r="J7">
        <f t="shared" si="5"/>
        <v>21</v>
      </c>
      <c r="M7">
        <v>6</v>
      </c>
      <c r="N7" t="str">
        <f t="shared" si="0"/>
        <v>How (global)</v>
      </c>
      <c r="O7" t="s">
        <v>81</v>
      </c>
      <c r="P7" s="3">
        <f t="shared" si="1"/>
        <v>0.83522222222222231</v>
      </c>
      <c r="Q7">
        <f t="shared" si="2"/>
        <v>6</v>
      </c>
      <c r="R7" s="2">
        <f t="shared" si="3"/>
        <v>15.550083333333333</v>
      </c>
      <c r="S7">
        <f t="shared" si="4"/>
        <v>21</v>
      </c>
    </row>
    <row r="8" spans="1:19" x14ac:dyDescent="0.2">
      <c r="A8" t="s">
        <v>14</v>
      </c>
      <c r="B8" t="s">
        <v>21</v>
      </c>
      <c r="C8" s="3">
        <v>0.83066666666666666</v>
      </c>
      <c r="D8">
        <v>7</v>
      </c>
      <c r="F8" t="s">
        <v>33</v>
      </c>
      <c r="G8" t="s">
        <v>37</v>
      </c>
      <c r="H8" s="2">
        <v>13.293750000000001</v>
      </c>
      <c r="I8">
        <v>7</v>
      </c>
      <c r="J8">
        <f t="shared" si="5"/>
        <v>32</v>
      </c>
      <c r="M8">
        <v>7</v>
      </c>
      <c r="N8" t="str">
        <f t="shared" si="0"/>
        <v>Data</v>
      </c>
      <c r="O8" t="s">
        <v>21</v>
      </c>
      <c r="P8" s="3">
        <f t="shared" si="1"/>
        <v>0.83066666666666666</v>
      </c>
      <c r="Q8">
        <f t="shared" si="2"/>
        <v>7</v>
      </c>
      <c r="R8" s="2">
        <f t="shared" si="3"/>
        <v>13.6485</v>
      </c>
      <c r="S8">
        <f t="shared" si="4"/>
        <v>10</v>
      </c>
    </row>
    <row r="9" spans="1:19" x14ac:dyDescent="0.2">
      <c r="A9" t="s">
        <v>64</v>
      </c>
      <c r="B9" t="s">
        <v>68</v>
      </c>
      <c r="C9" s="3">
        <v>0.8272222222222223</v>
      </c>
      <c r="D9">
        <v>8</v>
      </c>
      <c r="F9" t="s">
        <v>64</v>
      </c>
      <c r="G9" t="s">
        <v>68</v>
      </c>
      <c r="H9" s="2">
        <v>13.293916666666668</v>
      </c>
      <c r="I9">
        <v>8</v>
      </c>
      <c r="J9">
        <f t="shared" si="5"/>
        <v>8</v>
      </c>
      <c r="M9">
        <v>8</v>
      </c>
      <c r="N9" t="str">
        <f t="shared" si="0"/>
        <v>Performance</v>
      </c>
      <c r="O9" t="s">
        <v>68</v>
      </c>
      <c r="P9" s="3">
        <f t="shared" si="1"/>
        <v>0.8272222222222223</v>
      </c>
      <c r="Q9">
        <f t="shared" si="2"/>
        <v>8</v>
      </c>
      <c r="R9" s="2">
        <f t="shared" si="3"/>
        <v>13.293916666666668</v>
      </c>
      <c r="S9">
        <f t="shared" si="4"/>
        <v>8</v>
      </c>
    </row>
    <row r="10" spans="1:19" x14ac:dyDescent="0.2">
      <c r="A10" t="s">
        <v>105</v>
      </c>
      <c r="B10" t="s">
        <v>109</v>
      </c>
      <c r="C10" s="3">
        <v>0.80900000000000005</v>
      </c>
      <c r="D10">
        <v>9</v>
      </c>
      <c r="F10" t="s">
        <v>14</v>
      </c>
      <c r="G10" t="s">
        <v>15</v>
      </c>
      <c r="H10" s="2">
        <v>13.609333333333334</v>
      </c>
      <c r="I10">
        <v>9</v>
      </c>
      <c r="J10">
        <f t="shared" si="5"/>
        <v>5</v>
      </c>
      <c r="L10" t="s">
        <v>369</v>
      </c>
      <c r="M10">
        <v>9</v>
      </c>
      <c r="N10" t="str">
        <f t="shared" si="0"/>
        <v>Others</v>
      </c>
      <c r="O10" t="s">
        <v>109</v>
      </c>
      <c r="P10" s="3">
        <f t="shared" si="1"/>
        <v>0.80900000000000005</v>
      </c>
      <c r="Q10">
        <f t="shared" si="2"/>
        <v>9</v>
      </c>
      <c r="R10" s="2">
        <f t="shared" si="3"/>
        <v>11.312666666666667</v>
      </c>
      <c r="S10">
        <f t="shared" si="4"/>
        <v>1</v>
      </c>
    </row>
    <row r="11" spans="1:19" x14ac:dyDescent="0.2">
      <c r="A11" t="s">
        <v>64</v>
      </c>
      <c r="B11" t="s">
        <v>77</v>
      </c>
      <c r="C11" s="3">
        <v>0.79961111111111105</v>
      </c>
      <c r="D11">
        <v>10</v>
      </c>
      <c r="F11" t="s">
        <v>14</v>
      </c>
      <c r="G11" t="s">
        <v>21</v>
      </c>
      <c r="H11" s="2">
        <v>13.6485</v>
      </c>
      <c r="I11">
        <v>10</v>
      </c>
      <c r="J11">
        <f t="shared" si="5"/>
        <v>7</v>
      </c>
      <c r="M11">
        <v>10</v>
      </c>
      <c r="N11" t="str">
        <f t="shared" si="0"/>
        <v>Performance</v>
      </c>
      <c r="O11" t="s">
        <v>77</v>
      </c>
      <c r="P11" s="3">
        <f t="shared" si="1"/>
        <v>0.79961111111111105</v>
      </c>
      <c r="Q11">
        <f t="shared" si="2"/>
        <v>10</v>
      </c>
      <c r="R11" s="2">
        <f t="shared" si="3"/>
        <v>13.122999999999999</v>
      </c>
      <c r="S11">
        <f t="shared" si="4"/>
        <v>5</v>
      </c>
    </row>
    <row r="12" spans="1:19" x14ac:dyDescent="0.2">
      <c r="A12" t="s">
        <v>80</v>
      </c>
      <c r="B12" t="s">
        <v>84</v>
      </c>
      <c r="C12" s="3">
        <v>0.77627777777777773</v>
      </c>
      <c r="D12">
        <v>11</v>
      </c>
      <c r="F12" t="s">
        <v>33</v>
      </c>
      <c r="G12" t="s">
        <v>55</v>
      </c>
      <c r="H12" s="2">
        <v>13.968500000000001</v>
      </c>
      <c r="I12">
        <v>11</v>
      </c>
      <c r="J12">
        <f t="shared" si="5"/>
        <v>25</v>
      </c>
      <c r="M12">
        <v>11</v>
      </c>
      <c r="N12" t="str">
        <f t="shared" si="0"/>
        <v>How (global)</v>
      </c>
      <c r="O12" t="s">
        <v>84</v>
      </c>
      <c r="P12" s="3">
        <f t="shared" si="1"/>
        <v>0.77627777777777773</v>
      </c>
      <c r="Q12">
        <f t="shared" si="2"/>
        <v>11</v>
      </c>
      <c r="R12" s="2">
        <f t="shared" si="3"/>
        <v>19.138750000000005</v>
      </c>
      <c r="S12">
        <f t="shared" si="4"/>
        <v>35</v>
      </c>
    </row>
    <row r="13" spans="1:19" x14ac:dyDescent="0.2">
      <c r="A13" t="s">
        <v>121</v>
      </c>
      <c r="B13" t="s">
        <v>122</v>
      </c>
      <c r="C13" s="3">
        <v>0.77322222222222214</v>
      </c>
      <c r="D13">
        <v>12</v>
      </c>
      <c r="F13" t="s">
        <v>80</v>
      </c>
      <c r="G13" t="s">
        <v>93</v>
      </c>
      <c r="H13" s="2">
        <v>14.201833333333331</v>
      </c>
      <c r="I13">
        <v>12</v>
      </c>
      <c r="J13">
        <f t="shared" si="5"/>
        <v>33</v>
      </c>
      <c r="L13" t="s">
        <v>369</v>
      </c>
      <c r="M13">
        <v>12</v>
      </c>
      <c r="N13" t="str">
        <f t="shared" si="0"/>
        <v>UI</v>
      </c>
      <c r="O13" t="s">
        <v>122</v>
      </c>
      <c r="P13" s="3">
        <f t="shared" si="1"/>
        <v>0.77322222222222214</v>
      </c>
      <c r="Q13">
        <f t="shared" si="2"/>
        <v>12</v>
      </c>
      <c r="R13" s="2">
        <f t="shared" si="3"/>
        <v>16.795749999999998</v>
      </c>
      <c r="S13">
        <f t="shared" si="4"/>
        <v>32</v>
      </c>
    </row>
    <row r="14" spans="1:19" x14ac:dyDescent="0.2">
      <c r="A14" t="s">
        <v>80</v>
      </c>
      <c r="B14" t="s">
        <v>102</v>
      </c>
      <c r="C14" s="3">
        <v>0.74755555555555553</v>
      </c>
      <c r="D14">
        <v>13</v>
      </c>
      <c r="F14" t="s">
        <v>64</v>
      </c>
      <c r="G14" t="s">
        <v>71</v>
      </c>
      <c r="H14" s="2">
        <v>14.366249999999999</v>
      </c>
      <c r="I14">
        <v>13</v>
      </c>
      <c r="J14">
        <f t="shared" si="5"/>
        <v>22</v>
      </c>
      <c r="M14">
        <v>13</v>
      </c>
      <c r="N14" t="str">
        <f t="shared" si="0"/>
        <v>How (global)</v>
      </c>
      <c r="O14" t="s">
        <v>102</v>
      </c>
      <c r="P14" s="3">
        <f t="shared" si="1"/>
        <v>0.74755555555555553</v>
      </c>
      <c r="Q14">
        <f t="shared" si="2"/>
        <v>13</v>
      </c>
      <c r="R14" s="2">
        <f t="shared" si="3"/>
        <v>15.182000000000002</v>
      </c>
      <c r="S14">
        <f t="shared" si="4"/>
        <v>18</v>
      </c>
    </row>
    <row r="15" spans="1:19" x14ac:dyDescent="0.2">
      <c r="A15" t="s">
        <v>105</v>
      </c>
      <c r="B15" t="s">
        <v>112</v>
      </c>
      <c r="C15" s="3">
        <v>0.74638888888888888</v>
      </c>
      <c r="D15">
        <v>14</v>
      </c>
      <c r="F15" t="s">
        <v>64</v>
      </c>
      <c r="G15" t="s">
        <v>74</v>
      </c>
      <c r="H15" s="2">
        <v>14.452166666666669</v>
      </c>
      <c r="I15">
        <v>14</v>
      </c>
      <c r="J15">
        <f t="shared" si="5"/>
        <v>34</v>
      </c>
      <c r="M15">
        <v>14</v>
      </c>
      <c r="N15" t="str">
        <f t="shared" si="0"/>
        <v>Others</v>
      </c>
      <c r="O15" t="s">
        <v>112</v>
      </c>
      <c r="P15" s="3">
        <f t="shared" si="1"/>
        <v>0.74638888888888888</v>
      </c>
      <c r="Q15">
        <f t="shared" si="2"/>
        <v>14</v>
      </c>
      <c r="R15" s="2">
        <f t="shared" si="3"/>
        <v>16.535666666666668</v>
      </c>
      <c r="S15">
        <f t="shared" si="4"/>
        <v>28</v>
      </c>
    </row>
    <row r="16" spans="1:19" x14ac:dyDescent="0.2">
      <c r="A16" t="s">
        <v>33</v>
      </c>
      <c r="B16" t="s">
        <v>49</v>
      </c>
      <c r="C16" s="3">
        <v>0.72733333333333328</v>
      </c>
      <c r="D16">
        <v>15</v>
      </c>
      <c r="F16" t="s">
        <v>33</v>
      </c>
      <c r="G16" t="s">
        <v>34</v>
      </c>
      <c r="H16" s="2">
        <v>14.580666666666666</v>
      </c>
      <c r="I16">
        <v>15</v>
      </c>
      <c r="J16">
        <f t="shared" si="5"/>
        <v>31</v>
      </c>
      <c r="M16">
        <v>15</v>
      </c>
      <c r="N16" t="str">
        <f t="shared" si="0"/>
        <v>Output</v>
      </c>
      <c r="O16" t="s">
        <v>49</v>
      </c>
      <c r="P16" s="3">
        <f t="shared" si="1"/>
        <v>0.72733333333333328</v>
      </c>
      <c r="Q16">
        <f t="shared" si="2"/>
        <v>15</v>
      </c>
      <c r="R16" s="2">
        <f t="shared" si="3"/>
        <v>15.568750000000001</v>
      </c>
      <c r="S16">
        <f t="shared" si="4"/>
        <v>22</v>
      </c>
    </row>
    <row r="17" spans="1:19" x14ac:dyDescent="0.2">
      <c r="A17" t="s">
        <v>105</v>
      </c>
      <c r="B17" t="s">
        <v>115</v>
      </c>
      <c r="C17" s="3">
        <v>0.72333333333333327</v>
      </c>
      <c r="D17">
        <v>16</v>
      </c>
      <c r="F17" t="s">
        <v>33</v>
      </c>
      <c r="G17" t="s">
        <v>40</v>
      </c>
      <c r="H17" s="2">
        <v>14.824166666666668</v>
      </c>
      <c r="I17">
        <v>16</v>
      </c>
      <c r="J17">
        <f t="shared" si="5"/>
        <v>30</v>
      </c>
      <c r="M17">
        <v>16</v>
      </c>
      <c r="N17" t="str">
        <f t="shared" si="0"/>
        <v>Others</v>
      </c>
      <c r="O17" t="s">
        <v>115</v>
      </c>
      <c r="P17" s="3">
        <f t="shared" si="1"/>
        <v>0.72333333333333327</v>
      </c>
      <c r="Q17">
        <f t="shared" si="2"/>
        <v>16</v>
      </c>
      <c r="R17" s="2">
        <f t="shared" si="3"/>
        <v>15.478416666666666</v>
      </c>
      <c r="S17">
        <f t="shared" si="4"/>
        <v>20</v>
      </c>
    </row>
    <row r="18" spans="1:19" x14ac:dyDescent="0.2">
      <c r="A18" t="s">
        <v>33</v>
      </c>
      <c r="B18" t="s">
        <v>52</v>
      </c>
      <c r="C18" s="3">
        <v>0.71905555555555545</v>
      </c>
      <c r="D18">
        <v>17</v>
      </c>
      <c r="F18" t="s">
        <v>105</v>
      </c>
      <c r="G18" t="s">
        <v>118</v>
      </c>
      <c r="H18" s="2">
        <v>14.925500000000001</v>
      </c>
      <c r="I18">
        <v>17</v>
      </c>
      <c r="J18">
        <f t="shared" si="5"/>
        <v>3</v>
      </c>
      <c r="L18" t="s">
        <v>369</v>
      </c>
      <c r="M18">
        <v>17</v>
      </c>
      <c r="N18" t="str">
        <f t="shared" si="0"/>
        <v>Output</v>
      </c>
      <c r="O18" t="s">
        <v>52</v>
      </c>
      <c r="P18" s="3">
        <f t="shared" si="1"/>
        <v>0.71905555555555545</v>
      </c>
      <c r="Q18">
        <f t="shared" si="2"/>
        <v>17</v>
      </c>
      <c r="R18" s="2">
        <f t="shared" si="3"/>
        <v>15.386416666666667</v>
      </c>
      <c r="S18">
        <f t="shared" si="4"/>
        <v>19</v>
      </c>
    </row>
    <row r="19" spans="1:19" x14ac:dyDescent="0.2">
      <c r="A19" t="s">
        <v>121</v>
      </c>
      <c r="B19" t="s">
        <v>125</v>
      </c>
      <c r="C19" s="3">
        <v>0.7169444444444445</v>
      </c>
      <c r="D19">
        <v>18</v>
      </c>
      <c r="F19" t="s">
        <v>80</v>
      </c>
      <c r="G19" t="s">
        <v>102</v>
      </c>
      <c r="H19" s="2">
        <v>15.182000000000002</v>
      </c>
      <c r="I19">
        <v>18</v>
      </c>
      <c r="J19">
        <f t="shared" si="5"/>
        <v>13</v>
      </c>
      <c r="M19">
        <v>18</v>
      </c>
      <c r="N19" t="str">
        <f t="shared" si="0"/>
        <v>UI</v>
      </c>
      <c r="O19" t="s">
        <v>125</v>
      </c>
      <c r="P19" s="3">
        <f t="shared" si="1"/>
        <v>0.7169444444444445</v>
      </c>
      <c r="Q19">
        <f t="shared" si="2"/>
        <v>18</v>
      </c>
      <c r="R19" s="2">
        <f t="shared" si="3"/>
        <v>19.790833333333332</v>
      </c>
      <c r="S19">
        <f t="shared" si="4"/>
        <v>36</v>
      </c>
    </row>
    <row r="20" spans="1:19" x14ac:dyDescent="0.2">
      <c r="A20" t="s">
        <v>64</v>
      </c>
      <c r="B20" t="s">
        <v>65</v>
      </c>
      <c r="C20" s="3">
        <v>0.69705555555555554</v>
      </c>
      <c r="D20">
        <v>19</v>
      </c>
      <c r="F20" t="s">
        <v>33</v>
      </c>
      <c r="G20" t="s">
        <v>52</v>
      </c>
      <c r="H20" s="2">
        <v>15.386416666666667</v>
      </c>
      <c r="I20">
        <v>19</v>
      </c>
      <c r="J20">
        <f t="shared" si="5"/>
        <v>17</v>
      </c>
      <c r="M20">
        <v>19</v>
      </c>
      <c r="N20" t="str">
        <f t="shared" si="0"/>
        <v>Performance</v>
      </c>
      <c r="O20" t="s">
        <v>65</v>
      </c>
      <c r="P20" s="3">
        <f t="shared" si="1"/>
        <v>0.69705555555555554</v>
      </c>
      <c r="Q20">
        <f t="shared" si="2"/>
        <v>19</v>
      </c>
      <c r="R20" s="2">
        <f t="shared" si="3"/>
        <v>11.561583333333333</v>
      </c>
      <c r="S20">
        <f t="shared" si="4"/>
        <v>2</v>
      </c>
    </row>
    <row r="21" spans="1:19" x14ac:dyDescent="0.2">
      <c r="A21" t="s">
        <v>14</v>
      </c>
      <c r="B21" t="s">
        <v>30</v>
      </c>
      <c r="C21" s="3">
        <v>0.69499999999999995</v>
      </c>
      <c r="D21">
        <v>20</v>
      </c>
      <c r="F21" t="s">
        <v>105</v>
      </c>
      <c r="G21" t="s">
        <v>115</v>
      </c>
      <c r="H21" s="2">
        <v>15.478416666666666</v>
      </c>
      <c r="I21">
        <v>20</v>
      </c>
      <c r="J21">
        <f t="shared" si="5"/>
        <v>16</v>
      </c>
      <c r="M21">
        <v>20</v>
      </c>
      <c r="N21" t="str">
        <f t="shared" si="0"/>
        <v>Data</v>
      </c>
      <c r="O21" t="s">
        <v>30</v>
      </c>
      <c r="P21" s="3">
        <f t="shared" si="1"/>
        <v>0.69499999999999995</v>
      </c>
      <c r="Q21">
        <f t="shared" si="2"/>
        <v>20</v>
      </c>
      <c r="R21" s="2">
        <f t="shared" si="3"/>
        <v>15.827750000000002</v>
      </c>
      <c r="S21">
        <f t="shared" si="4"/>
        <v>26</v>
      </c>
    </row>
    <row r="22" spans="1:19" x14ac:dyDescent="0.2">
      <c r="A22" t="s">
        <v>105</v>
      </c>
      <c r="B22" t="s">
        <v>106</v>
      </c>
      <c r="C22" s="3">
        <v>0.69005555555555553</v>
      </c>
      <c r="D22">
        <v>21</v>
      </c>
      <c r="F22" t="s">
        <v>80</v>
      </c>
      <c r="G22" t="s">
        <v>81</v>
      </c>
      <c r="H22" s="2">
        <v>15.550083333333333</v>
      </c>
      <c r="I22">
        <v>21</v>
      </c>
      <c r="J22">
        <f t="shared" si="5"/>
        <v>6</v>
      </c>
      <c r="L22" t="s">
        <v>369</v>
      </c>
      <c r="M22">
        <v>21</v>
      </c>
      <c r="N22" t="str">
        <f t="shared" si="0"/>
        <v>Others</v>
      </c>
      <c r="O22" t="s">
        <v>106</v>
      </c>
      <c r="P22" s="3">
        <f t="shared" si="1"/>
        <v>0.69005555555555553</v>
      </c>
      <c r="Q22">
        <f t="shared" si="2"/>
        <v>21</v>
      </c>
      <c r="R22" s="2">
        <f t="shared" si="3"/>
        <v>13.126333333333335</v>
      </c>
      <c r="S22">
        <f t="shared" si="4"/>
        <v>6</v>
      </c>
    </row>
    <row r="23" spans="1:19" x14ac:dyDescent="0.2">
      <c r="A23" t="s">
        <v>64</v>
      </c>
      <c r="B23" t="s">
        <v>71</v>
      </c>
      <c r="C23" s="3">
        <v>0.68844444444444441</v>
      </c>
      <c r="D23">
        <v>22</v>
      </c>
      <c r="F23" t="s">
        <v>33</v>
      </c>
      <c r="G23" t="s">
        <v>49</v>
      </c>
      <c r="H23" s="2">
        <v>15.568750000000001</v>
      </c>
      <c r="I23">
        <v>22</v>
      </c>
      <c r="J23">
        <f t="shared" si="5"/>
        <v>15</v>
      </c>
      <c r="M23">
        <v>22</v>
      </c>
      <c r="N23" t="str">
        <f t="shared" si="0"/>
        <v>Performance</v>
      </c>
      <c r="O23" t="s">
        <v>71</v>
      </c>
      <c r="P23" s="3">
        <f t="shared" si="1"/>
        <v>0.68844444444444441</v>
      </c>
      <c r="Q23">
        <f t="shared" si="2"/>
        <v>22</v>
      </c>
      <c r="R23" s="2">
        <f t="shared" si="3"/>
        <v>14.366249999999999</v>
      </c>
      <c r="S23">
        <f t="shared" si="4"/>
        <v>13</v>
      </c>
    </row>
    <row r="24" spans="1:19" x14ac:dyDescent="0.2">
      <c r="A24" t="s">
        <v>33</v>
      </c>
      <c r="B24" t="s">
        <v>43</v>
      </c>
      <c r="C24" s="3">
        <v>0.6791666666666667</v>
      </c>
      <c r="D24">
        <v>23</v>
      </c>
      <c r="F24" t="s">
        <v>80</v>
      </c>
      <c r="G24" t="s">
        <v>90</v>
      </c>
      <c r="H24" s="2">
        <v>15.615416666666667</v>
      </c>
      <c r="I24">
        <v>23</v>
      </c>
      <c r="J24">
        <f t="shared" si="5"/>
        <v>36</v>
      </c>
      <c r="M24">
        <v>23</v>
      </c>
      <c r="N24" t="str">
        <f t="shared" si="0"/>
        <v>Output</v>
      </c>
      <c r="O24" t="s">
        <v>43</v>
      </c>
      <c r="P24" s="3">
        <f t="shared" si="1"/>
        <v>0.6791666666666667</v>
      </c>
      <c r="Q24">
        <f t="shared" si="2"/>
        <v>23</v>
      </c>
      <c r="R24" s="2">
        <f t="shared" si="3"/>
        <v>16.771249999999998</v>
      </c>
      <c r="S24">
        <f t="shared" si="4"/>
        <v>31</v>
      </c>
    </row>
    <row r="25" spans="1:19" x14ac:dyDescent="0.2">
      <c r="A25" t="s">
        <v>14</v>
      </c>
      <c r="B25" t="s">
        <v>24</v>
      </c>
      <c r="C25" s="3">
        <v>0.66599999999999993</v>
      </c>
      <c r="D25">
        <v>24</v>
      </c>
      <c r="F25" t="s">
        <v>14</v>
      </c>
      <c r="G25" t="s">
        <v>18</v>
      </c>
      <c r="H25" s="2">
        <v>15.707166666666666</v>
      </c>
      <c r="I25">
        <v>24</v>
      </c>
      <c r="J25">
        <f t="shared" si="5"/>
        <v>1</v>
      </c>
      <c r="M25">
        <v>24</v>
      </c>
      <c r="N25" t="str">
        <f t="shared" si="0"/>
        <v>Data</v>
      </c>
      <c r="O25" t="s">
        <v>24</v>
      </c>
      <c r="P25" s="3">
        <f t="shared" si="1"/>
        <v>0.66599999999999993</v>
      </c>
      <c r="Q25">
        <f t="shared" si="2"/>
        <v>24</v>
      </c>
      <c r="R25" s="2">
        <f t="shared" si="3"/>
        <v>12.422666666666666</v>
      </c>
      <c r="S25">
        <f t="shared" si="4"/>
        <v>4</v>
      </c>
    </row>
    <row r="26" spans="1:19" x14ac:dyDescent="0.2">
      <c r="A26" t="s">
        <v>33</v>
      </c>
      <c r="B26" t="s">
        <v>55</v>
      </c>
      <c r="C26" s="3">
        <v>0.66038888888888891</v>
      </c>
      <c r="D26">
        <v>25</v>
      </c>
      <c r="F26" t="s">
        <v>80</v>
      </c>
      <c r="G26" t="s">
        <v>87</v>
      </c>
      <c r="H26" s="2">
        <v>15.718916666666667</v>
      </c>
      <c r="I26">
        <v>25</v>
      </c>
      <c r="J26">
        <f t="shared" si="5"/>
        <v>35</v>
      </c>
      <c r="L26" t="s">
        <v>369</v>
      </c>
      <c r="M26">
        <v>25</v>
      </c>
      <c r="N26" t="str">
        <f t="shared" si="0"/>
        <v>Output</v>
      </c>
      <c r="O26" t="s">
        <v>55</v>
      </c>
      <c r="P26" s="3">
        <f t="shared" si="1"/>
        <v>0.66038888888888891</v>
      </c>
      <c r="Q26">
        <f t="shared" si="2"/>
        <v>25</v>
      </c>
      <c r="R26" s="2">
        <f t="shared" si="3"/>
        <v>13.968500000000001</v>
      </c>
      <c r="S26">
        <f t="shared" si="4"/>
        <v>11</v>
      </c>
    </row>
    <row r="27" spans="1:19" x14ac:dyDescent="0.2">
      <c r="A27" t="s">
        <v>33</v>
      </c>
      <c r="B27" t="s">
        <v>46</v>
      </c>
      <c r="C27" s="3">
        <v>0.64800000000000002</v>
      </c>
      <c r="D27">
        <v>26</v>
      </c>
      <c r="F27" t="s">
        <v>14</v>
      </c>
      <c r="G27" t="s">
        <v>30</v>
      </c>
      <c r="H27" s="2">
        <v>15.827750000000002</v>
      </c>
      <c r="I27">
        <v>26</v>
      </c>
      <c r="J27">
        <f t="shared" si="5"/>
        <v>20</v>
      </c>
      <c r="M27">
        <v>26</v>
      </c>
      <c r="N27" t="str">
        <f t="shared" si="0"/>
        <v>Output</v>
      </c>
      <c r="O27" t="s">
        <v>46</v>
      </c>
      <c r="P27" s="3">
        <f t="shared" si="1"/>
        <v>0.64800000000000002</v>
      </c>
      <c r="Q27">
        <f t="shared" si="2"/>
        <v>26</v>
      </c>
      <c r="R27" s="2">
        <f t="shared" si="3"/>
        <v>17.376166666666666</v>
      </c>
      <c r="S27">
        <f t="shared" si="4"/>
        <v>33</v>
      </c>
    </row>
    <row r="28" spans="1:19" x14ac:dyDescent="0.2">
      <c r="A28" t="s">
        <v>33</v>
      </c>
      <c r="B28" t="s">
        <v>61</v>
      </c>
      <c r="C28" s="3">
        <v>0.64327777777777773</v>
      </c>
      <c r="D28">
        <v>27</v>
      </c>
      <c r="F28" t="s">
        <v>80</v>
      </c>
      <c r="G28" t="s">
        <v>99</v>
      </c>
      <c r="H28" s="2">
        <v>16.501583333333333</v>
      </c>
      <c r="I28">
        <v>27</v>
      </c>
      <c r="J28">
        <f t="shared" si="5"/>
        <v>2</v>
      </c>
      <c r="L28" t="s">
        <v>369</v>
      </c>
      <c r="M28">
        <v>27</v>
      </c>
      <c r="N28" t="str">
        <f t="shared" si="0"/>
        <v>Output</v>
      </c>
      <c r="O28" t="s">
        <v>61</v>
      </c>
      <c r="P28" s="3">
        <f t="shared" si="1"/>
        <v>0.64327777777777773</v>
      </c>
      <c r="Q28">
        <f t="shared" si="2"/>
        <v>27</v>
      </c>
      <c r="R28" s="2">
        <f t="shared" si="3"/>
        <v>12.409083333333333</v>
      </c>
      <c r="S28">
        <f t="shared" si="4"/>
        <v>3</v>
      </c>
    </row>
    <row r="29" spans="1:19" x14ac:dyDescent="0.2">
      <c r="A29" t="s">
        <v>33</v>
      </c>
      <c r="B29" t="s">
        <v>58</v>
      </c>
      <c r="C29" s="3">
        <v>0.63294444444444453</v>
      </c>
      <c r="D29">
        <v>28</v>
      </c>
      <c r="F29" t="s">
        <v>105</v>
      </c>
      <c r="G29" t="s">
        <v>112</v>
      </c>
      <c r="H29" s="2">
        <v>16.535666666666668</v>
      </c>
      <c r="I29">
        <v>28</v>
      </c>
      <c r="J29">
        <f t="shared" si="5"/>
        <v>14</v>
      </c>
      <c r="L29" t="s">
        <v>369</v>
      </c>
      <c r="M29">
        <v>28</v>
      </c>
      <c r="N29" t="str">
        <f t="shared" si="0"/>
        <v>Output</v>
      </c>
      <c r="O29" t="s">
        <v>58</v>
      </c>
      <c r="P29" s="3">
        <f t="shared" si="1"/>
        <v>0.63294444444444453</v>
      </c>
      <c r="Q29">
        <f t="shared" si="2"/>
        <v>28</v>
      </c>
      <c r="R29" s="2">
        <f t="shared" si="3"/>
        <v>16.746916666666667</v>
      </c>
      <c r="S29">
        <f t="shared" si="4"/>
        <v>30</v>
      </c>
    </row>
    <row r="30" spans="1:19" x14ac:dyDescent="0.2">
      <c r="A30" t="s">
        <v>14</v>
      </c>
      <c r="B30" t="s">
        <v>27</v>
      </c>
      <c r="C30" s="3">
        <v>0.61366666666666669</v>
      </c>
      <c r="D30">
        <v>29</v>
      </c>
      <c r="F30" t="s">
        <v>14</v>
      </c>
      <c r="G30" t="s">
        <v>27</v>
      </c>
      <c r="H30" s="2">
        <v>16.64725</v>
      </c>
      <c r="I30">
        <v>29</v>
      </c>
      <c r="J30">
        <f t="shared" si="5"/>
        <v>29</v>
      </c>
      <c r="M30">
        <v>29</v>
      </c>
      <c r="N30" t="str">
        <f t="shared" si="0"/>
        <v>Data</v>
      </c>
      <c r="O30" t="s">
        <v>27</v>
      </c>
      <c r="P30" s="3">
        <f t="shared" si="1"/>
        <v>0.61366666666666669</v>
      </c>
      <c r="Q30">
        <f t="shared" si="2"/>
        <v>29</v>
      </c>
      <c r="R30" s="2">
        <f t="shared" si="3"/>
        <v>16.64725</v>
      </c>
      <c r="S30">
        <f t="shared" si="4"/>
        <v>29</v>
      </c>
    </row>
    <row r="31" spans="1:19" x14ac:dyDescent="0.2">
      <c r="A31" t="s">
        <v>33</v>
      </c>
      <c r="B31" t="s">
        <v>40</v>
      </c>
      <c r="C31" s="3">
        <v>0.54783333333333328</v>
      </c>
      <c r="D31">
        <v>30</v>
      </c>
      <c r="F31" t="s">
        <v>33</v>
      </c>
      <c r="G31" t="s">
        <v>58</v>
      </c>
      <c r="H31" s="2">
        <v>16.746916666666667</v>
      </c>
      <c r="I31">
        <v>30</v>
      </c>
      <c r="J31">
        <f t="shared" si="5"/>
        <v>28</v>
      </c>
      <c r="M31">
        <v>30</v>
      </c>
      <c r="N31" t="str">
        <f t="shared" si="0"/>
        <v>Output</v>
      </c>
      <c r="O31" t="s">
        <v>40</v>
      </c>
      <c r="P31" s="3">
        <f t="shared" si="1"/>
        <v>0.54783333333333328</v>
      </c>
      <c r="Q31">
        <f t="shared" si="2"/>
        <v>30</v>
      </c>
      <c r="R31" s="2">
        <f t="shared" si="3"/>
        <v>14.824166666666668</v>
      </c>
      <c r="S31">
        <f t="shared" si="4"/>
        <v>16</v>
      </c>
    </row>
    <row r="32" spans="1:19" x14ac:dyDescent="0.2">
      <c r="A32" t="s">
        <v>33</v>
      </c>
      <c r="B32" t="s">
        <v>34</v>
      </c>
      <c r="C32" s="3">
        <v>0.52794444444444444</v>
      </c>
      <c r="D32">
        <v>31</v>
      </c>
      <c r="F32" t="s">
        <v>33</v>
      </c>
      <c r="G32" t="s">
        <v>43</v>
      </c>
      <c r="H32" s="2">
        <v>16.771249999999998</v>
      </c>
      <c r="I32">
        <v>31</v>
      </c>
      <c r="J32">
        <f t="shared" si="5"/>
        <v>23</v>
      </c>
      <c r="M32">
        <v>31</v>
      </c>
      <c r="N32" t="str">
        <f t="shared" si="0"/>
        <v>Output</v>
      </c>
      <c r="O32" t="s">
        <v>34</v>
      </c>
      <c r="P32" s="3">
        <f t="shared" si="1"/>
        <v>0.52794444444444444</v>
      </c>
      <c r="Q32">
        <f t="shared" si="2"/>
        <v>31</v>
      </c>
      <c r="R32" s="2">
        <f t="shared" si="3"/>
        <v>14.580666666666666</v>
      </c>
      <c r="S32">
        <f t="shared" si="4"/>
        <v>15</v>
      </c>
    </row>
    <row r="33" spans="1:19" x14ac:dyDescent="0.2">
      <c r="A33" t="s">
        <v>33</v>
      </c>
      <c r="B33" t="s">
        <v>37</v>
      </c>
      <c r="C33" s="3">
        <v>0.52361111111111114</v>
      </c>
      <c r="D33">
        <v>32</v>
      </c>
      <c r="F33" t="s">
        <v>121</v>
      </c>
      <c r="G33" t="s">
        <v>122</v>
      </c>
      <c r="H33" s="2">
        <v>16.795749999999998</v>
      </c>
      <c r="I33">
        <v>32</v>
      </c>
      <c r="J33">
        <f t="shared" si="5"/>
        <v>12</v>
      </c>
      <c r="M33">
        <v>32</v>
      </c>
      <c r="N33" t="str">
        <f t="shared" si="0"/>
        <v>Output</v>
      </c>
      <c r="O33" t="s">
        <v>37</v>
      </c>
      <c r="P33" s="3">
        <f t="shared" si="1"/>
        <v>0.52361111111111114</v>
      </c>
      <c r="Q33">
        <f t="shared" si="2"/>
        <v>32</v>
      </c>
      <c r="R33" s="2">
        <f t="shared" si="3"/>
        <v>13.293750000000001</v>
      </c>
      <c r="S33">
        <f t="shared" si="4"/>
        <v>7</v>
      </c>
    </row>
    <row r="34" spans="1:19" x14ac:dyDescent="0.2">
      <c r="A34" t="s">
        <v>80</v>
      </c>
      <c r="B34" t="s">
        <v>93</v>
      </c>
      <c r="C34" s="3">
        <v>0.51627777777777772</v>
      </c>
      <c r="D34">
        <v>33</v>
      </c>
      <c r="F34" t="s">
        <v>33</v>
      </c>
      <c r="G34" t="s">
        <v>46</v>
      </c>
      <c r="H34" s="2">
        <v>17.376166666666666</v>
      </c>
      <c r="I34">
        <v>33</v>
      </c>
      <c r="J34">
        <f t="shared" si="5"/>
        <v>26</v>
      </c>
      <c r="M34">
        <v>33</v>
      </c>
      <c r="N34" t="str">
        <f t="shared" si="0"/>
        <v>How (global)</v>
      </c>
      <c r="O34" t="s">
        <v>93</v>
      </c>
      <c r="P34" s="3">
        <f t="shared" si="1"/>
        <v>0.51627777777777772</v>
      </c>
      <c r="Q34">
        <f t="shared" si="2"/>
        <v>33</v>
      </c>
      <c r="R34" s="2">
        <f t="shared" si="3"/>
        <v>14.201833333333331</v>
      </c>
      <c r="S34">
        <f t="shared" si="4"/>
        <v>12</v>
      </c>
    </row>
    <row r="35" spans="1:19" x14ac:dyDescent="0.2">
      <c r="A35" t="s">
        <v>64</v>
      </c>
      <c r="B35" t="s">
        <v>74</v>
      </c>
      <c r="C35" s="3">
        <v>0.49594444444444452</v>
      </c>
      <c r="D35">
        <v>34</v>
      </c>
      <c r="F35" t="s">
        <v>80</v>
      </c>
      <c r="G35" t="s">
        <v>96</v>
      </c>
      <c r="H35" s="2">
        <v>17.754749999999998</v>
      </c>
      <c r="I35">
        <v>34</v>
      </c>
      <c r="J35">
        <f t="shared" si="5"/>
        <v>4</v>
      </c>
      <c r="M35">
        <v>34</v>
      </c>
      <c r="N35" t="str">
        <f t="shared" si="0"/>
        <v>Performance</v>
      </c>
      <c r="O35" t="s">
        <v>74</v>
      </c>
      <c r="P35" s="3">
        <f t="shared" si="1"/>
        <v>0.49594444444444452</v>
      </c>
      <c r="Q35">
        <f t="shared" si="2"/>
        <v>34</v>
      </c>
      <c r="R35" s="2">
        <f t="shared" si="3"/>
        <v>14.452166666666669</v>
      </c>
      <c r="S35">
        <f t="shared" si="4"/>
        <v>14</v>
      </c>
    </row>
    <row r="36" spans="1:19" x14ac:dyDescent="0.2">
      <c r="A36" t="s">
        <v>80</v>
      </c>
      <c r="B36" t="s">
        <v>87</v>
      </c>
      <c r="C36" s="3">
        <v>0.46633333333333332</v>
      </c>
      <c r="D36">
        <v>35</v>
      </c>
      <c r="F36" t="s">
        <v>80</v>
      </c>
      <c r="G36" t="s">
        <v>84</v>
      </c>
      <c r="H36" s="2">
        <v>19.138750000000005</v>
      </c>
      <c r="I36">
        <v>35</v>
      </c>
      <c r="J36">
        <f t="shared" si="5"/>
        <v>11</v>
      </c>
      <c r="M36">
        <v>35</v>
      </c>
      <c r="N36" t="str">
        <f t="shared" si="0"/>
        <v>How (global)</v>
      </c>
      <c r="O36" t="s">
        <v>87</v>
      </c>
      <c r="P36" s="3">
        <f t="shared" si="1"/>
        <v>0.46633333333333332</v>
      </c>
      <c r="Q36">
        <f t="shared" si="2"/>
        <v>35</v>
      </c>
      <c r="R36" s="2">
        <f t="shared" si="3"/>
        <v>15.718916666666667</v>
      </c>
      <c r="S36">
        <f t="shared" si="4"/>
        <v>25</v>
      </c>
    </row>
    <row r="37" spans="1:19" x14ac:dyDescent="0.2">
      <c r="A37" t="s">
        <v>80</v>
      </c>
      <c r="B37" t="s">
        <v>90</v>
      </c>
      <c r="C37" s="3">
        <v>0.44111111111111106</v>
      </c>
      <c r="D37">
        <v>36</v>
      </c>
      <c r="F37" t="s">
        <v>121</v>
      </c>
      <c r="G37" t="s">
        <v>125</v>
      </c>
      <c r="H37" s="2">
        <v>19.790833333333332</v>
      </c>
      <c r="I37">
        <v>36</v>
      </c>
      <c r="J37">
        <f t="shared" si="5"/>
        <v>18</v>
      </c>
      <c r="M37">
        <v>36</v>
      </c>
      <c r="N37" t="str">
        <f t="shared" si="0"/>
        <v>How (global)</v>
      </c>
      <c r="O37" t="s">
        <v>90</v>
      </c>
      <c r="P37" s="3">
        <f t="shared" si="1"/>
        <v>0.44111111111111106</v>
      </c>
      <c r="Q37">
        <f t="shared" si="2"/>
        <v>36</v>
      </c>
      <c r="R37" s="2">
        <f t="shared" si="3"/>
        <v>15.615416666666667</v>
      </c>
      <c r="S37">
        <f t="shared" si="4"/>
        <v>23</v>
      </c>
    </row>
  </sheetData>
  <autoFilter ref="N1:S37" xr:uid="{F881844F-5D9C-3145-B962-35D45519DA72}">
    <sortState xmlns:xlrd2="http://schemas.microsoft.com/office/spreadsheetml/2017/richdata2" ref="N2:S37">
      <sortCondition ref="Q1:Q37"/>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ACF Scores</vt:lpstr>
      <vt:lpstr>Readability Avg Scores</vt:lpstr>
      <vt:lpstr>Readability All Scores</vt:lpstr>
      <vt:lpstr>Q Interpretation</vt:lpstr>
      <vt:lpstr>Averages</vt:lpstr>
      <vt:lpstr>Ranking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Henry El-Jawhari</dc:creator>
  <cp:lastModifiedBy>Henry El-Jawhari</cp:lastModifiedBy>
  <dcterms:created xsi:type="dcterms:W3CDTF">2026-02-16T21:13:47Z</dcterms:created>
  <dcterms:modified xsi:type="dcterms:W3CDTF">2026-02-26T22:01:46Z</dcterms:modified>
</cp:coreProperties>
</file>